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sCategorias" sheetId="1" r:id="rId4"/>
    <sheet state="visible" name="Productos" sheetId="2" r:id="rId5"/>
    <sheet state="visible" name="Atributos" sheetId="3" r:id="rId6"/>
    <sheet state="visible" name="TiposAtributos" sheetId="4" r:id="rId7"/>
    <sheet state="visible" name="Consulta SQL refresh" sheetId="5" r:id="rId8"/>
  </sheets>
  <definedNames>
    <definedName hidden="1" localSheetId="1" name="_xlnm._FilterDatabase">Productos!$A$1:$O$622</definedName>
    <definedName hidden="1" localSheetId="2" name="_xlnm._FilterDatabase">Atributos!$A$1:$I$2349</definedName>
    <definedName hidden="1" localSheetId="0" name="Z_D43693DD_E232_4E10_840E_AFEDF1F30652_.wvu.FilterData">TodasCategorias!$A$1:$I$999</definedName>
    <definedName hidden="1" localSheetId="0" name="Z_EA9958EB_E1F6_42CC_827E_87EC05B4395D_.wvu.FilterData">TodasCategorias!$A$1:$I$999</definedName>
  </definedNames>
  <calcPr/>
  <customWorkbookViews>
    <customWorkbookView activeSheetId="0" maximized="1" windowHeight="0" windowWidth="0" guid="{D43693DD-E232-4E10-840E-AFEDF1F30652}" name="Filtro 1"/>
    <customWorkbookView activeSheetId="0" maximized="1" windowHeight="0" windowWidth="0" guid="{EA9958EB-E1F6-42CC-827E-87EC05B4395D}" name="Filtro 2"/>
  </customWorkbookViews>
  <extLst>
    <ext uri="GoogleSheetsCustomDataVersion2">
      <go:sheetsCustomData xmlns:go="http://customooxmlschemas.google.com/" r:id="rId9" roundtripDataChecksum="m0KUL7ZudoMIzpnqMAdQlfPiwqXgdE8kBaEwzdL6esw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37">
      <text>
        <t xml:space="preserve">AGRUPAR CON PANTALONES ID385 aprox
======</t>
      </text>
    </comment>
    <comment authorId="0" ref="B620">
      <text>
        <t xml:space="preserve">FALTA FOTO
======</t>
      </text>
    </comment>
  </commentList>
</comments>
</file>

<file path=xl/sharedStrings.xml><?xml version="1.0" encoding="utf-8"?>
<sst xmlns="http://schemas.openxmlformats.org/spreadsheetml/2006/main" count="6147" uniqueCount="2845">
  <si>
    <t>id</t>
  </si>
  <si>
    <t>NombreCategoria</t>
  </si>
  <si>
    <t>idcategoriapadre</t>
  </si>
  <si>
    <t>createAt</t>
  </si>
  <si>
    <t>UpdateAt</t>
  </si>
  <si>
    <t>activa</t>
  </si>
  <si>
    <t>imagen</t>
  </si>
  <si>
    <t>refreshImagen</t>
  </si>
  <si>
    <t>imagenSearch</t>
  </si>
  <si>
    <t>refreshImagenSearch</t>
  </si>
  <si>
    <t>orden</t>
  </si>
  <si>
    <t>Limpieza</t>
  </si>
  <si>
    <t>http://img.quodom.com.ar/categorias/1.png</t>
  </si>
  <si>
    <t>http://img.quodom.com.ar/categorias/1g.png</t>
  </si>
  <si>
    <t>1g</t>
  </si>
  <si>
    <t>Librería</t>
  </si>
  <si>
    <t>http://img.quodom.com.ar/categorias/2.png</t>
  </si>
  <si>
    <t>http://img.quodom.com.ar/categorias/2g.png</t>
  </si>
  <si>
    <t>2g</t>
  </si>
  <si>
    <t>Papelera</t>
  </si>
  <si>
    <t>http://img.quodom.com.ar/categorias/3.png</t>
  </si>
  <si>
    <t>http://img.quodom.com.ar/categorias/3g.png</t>
  </si>
  <si>
    <t>3g</t>
  </si>
  <si>
    <t>Construcción</t>
  </si>
  <si>
    <t>http://img.quodom.com.ar/categorias/4.png</t>
  </si>
  <si>
    <t>http://img.quodom.com.ar/categorias/4g.png</t>
  </si>
  <si>
    <t>4g</t>
  </si>
  <si>
    <t>Pintura</t>
  </si>
  <si>
    <t>http://img.quodom.com.ar/categorias/5.png</t>
  </si>
  <si>
    <t>http://img.quodom.com.ar/categorias/5g.png</t>
  </si>
  <si>
    <t>5g</t>
  </si>
  <si>
    <t>Sanitarios</t>
  </si>
  <si>
    <t>http://img.quodom.com.ar/categorias/6.png</t>
  </si>
  <si>
    <t>http://img.quodom.com.ar/categorias/6g.png</t>
  </si>
  <si>
    <t>6g</t>
  </si>
  <si>
    <t>Bebidas</t>
  </si>
  <si>
    <t>http://img.quodom.com.ar/categorias/7.png</t>
  </si>
  <si>
    <t>http://img.quodom.com.ar/categorias/7g.png</t>
  </si>
  <si>
    <t>7g</t>
  </si>
  <si>
    <t>Seguridad Industrial</t>
  </si>
  <si>
    <t>http://img.quodom.com.ar/categorias/8.png</t>
  </si>
  <si>
    <t>http://img.quodom.com.ar/categorias/8g.png</t>
  </si>
  <si>
    <t>8g</t>
  </si>
  <si>
    <t>Oficina</t>
  </si>
  <si>
    <t>http://img.quodom.com.ar/categorias/9.png</t>
  </si>
  <si>
    <t>Escritura</t>
  </si>
  <si>
    <t>http://img.quodom.com.ar/categorias/10.png</t>
  </si>
  <si>
    <t>Carpetas y Cuadernos</t>
  </si>
  <si>
    <t>http://img.quodom.com.ar/categorias/12.png</t>
  </si>
  <si>
    <t>Artística</t>
  </si>
  <si>
    <t>http://img.quodom.com.ar/categorias/13.png</t>
  </si>
  <si>
    <t>Pisos</t>
  </si>
  <si>
    <t>http://img.quodom.com.ar/categorias/14.png</t>
  </si>
  <si>
    <t>Lavandería</t>
  </si>
  <si>
    <t>http://img.quodom.com.ar/categorias/15.png</t>
  </si>
  <si>
    <t>Cocina</t>
  </si>
  <si>
    <t>http://img.quodom.com.ar/categorias/16.png</t>
  </si>
  <si>
    <t>Papelería</t>
  </si>
  <si>
    <t>http://img.quodom.com.ar/categorias/17.png</t>
  </si>
  <si>
    <t>Accesorios</t>
  </si>
  <si>
    <t>http://img.quodom.com.ar/categorias/18.png</t>
  </si>
  <si>
    <t>Cuidado Personal</t>
  </si>
  <si>
    <t>http://img.quodom.com.ar/categorias/19.png</t>
  </si>
  <si>
    <t>Automotor</t>
  </si>
  <si>
    <t>http://img.quodom.com.ar/categorias/20.png</t>
  </si>
  <si>
    <t>Piscinas</t>
  </si>
  <si>
    <t>http://img.quodom.com.ar/categorias/21.png</t>
  </si>
  <si>
    <t>http://img.quodom.com.ar/categorias/22.png</t>
  </si>
  <si>
    <t>Embalaje</t>
  </si>
  <si>
    <t>http://img.quodom.com.ar/categorias/23.png</t>
  </si>
  <si>
    <t>Cintas</t>
  </si>
  <si>
    <t>http://img.quodom.com.ar/categorias/24.png</t>
  </si>
  <si>
    <t>Bolsas</t>
  </si>
  <si>
    <t>http://img.quodom.com.ar/categorias/25.png</t>
  </si>
  <si>
    <t>Guantes</t>
  </si>
  <si>
    <t>http://img.quodom.com.ar/categorias/27.png</t>
  </si>
  <si>
    <t>http://img.quodom.com.ar/categorias/29.png</t>
  </si>
  <si>
    <t>Aridos</t>
  </si>
  <si>
    <t>http://img.quodom.com.ar/categorias/30.png</t>
  </si>
  <si>
    <t>Cemento/Adhesivos</t>
  </si>
  <si>
    <t>http://img.quodom.com.ar/categorias/31.png</t>
  </si>
  <si>
    <t>Ladrillos y Hormigón</t>
  </si>
  <si>
    <t>http://img.quodom.com.ar/categorias/32.png</t>
  </si>
  <si>
    <t>Hierros</t>
  </si>
  <si>
    <t>http://img.quodom.com.ar/categorias/33.png</t>
  </si>
  <si>
    <t>Impermeabilizantes</t>
  </si>
  <si>
    <t>http://img.quodom.com.ar/categorias/34.png</t>
  </si>
  <si>
    <t>Latex</t>
  </si>
  <si>
    <t>http://img.quodom.com.ar/categorias/35.png</t>
  </si>
  <si>
    <t>Esmaltes</t>
  </si>
  <si>
    <t>http://img.quodom.com.ar/categorias/36.png</t>
  </si>
  <si>
    <t>Madera</t>
  </si>
  <si>
    <t>http://img.quodom.com.ar/categorias/37.png</t>
  </si>
  <si>
    <t>http://img.quodom.com.ar/categorias/39.png</t>
  </si>
  <si>
    <t>Superficie</t>
  </si>
  <si>
    <t>http://img.quodom.com.ar/categorias/40.png</t>
  </si>
  <si>
    <t>Termofusión</t>
  </si>
  <si>
    <t>http://img.quodom.com.ar/categorias/41.png</t>
  </si>
  <si>
    <t>Tanques</t>
  </si>
  <si>
    <t>http://img.quodom.com.ar/categorias/42.png</t>
  </si>
  <si>
    <t>Desagüe</t>
  </si>
  <si>
    <t>http://img.quodom.com.ar/categorias/43.png</t>
  </si>
  <si>
    <t>Herramientas</t>
  </si>
  <si>
    <t>http://img.quodom.com.ar/categorias/44.png</t>
  </si>
  <si>
    <t>Gaseosas</t>
  </si>
  <si>
    <t>http://img.quodom.com.ar/categorias/45.png</t>
  </si>
  <si>
    <t>Cervezas</t>
  </si>
  <si>
    <t>http://img.quodom.com.ar/categorias/46.png</t>
  </si>
  <si>
    <t>Aguas y jugos</t>
  </si>
  <si>
    <t>http://img.quodom.com.ar/categorias/47.png</t>
  </si>
  <si>
    <t>Aperitivos</t>
  </si>
  <si>
    <t>http://img.quodom.com.ar/categorias/48.png</t>
  </si>
  <si>
    <t>Vinos</t>
  </si>
  <si>
    <t>http://img.quodom.com.ar/categorias/49.png</t>
  </si>
  <si>
    <t>Energizantes</t>
  </si>
  <si>
    <t>http://img.quodom.com.ar/categorias/50.png</t>
  </si>
  <si>
    <t>Licores</t>
  </si>
  <si>
    <t>http://img.quodom.com.ar/categorias/51.png</t>
  </si>
  <si>
    <t>Whisky</t>
  </si>
  <si>
    <t>http://img.quodom.com.ar/categorias/52.png</t>
  </si>
  <si>
    <t>Vodka</t>
  </si>
  <si>
    <t>http://img.quodom.com.ar/categorias/53.png</t>
  </si>
  <si>
    <t>Indumentaria</t>
  </si>
  <si>
    <t>http://img.quodom.com.ar/categorias/54.png</t>
  </si>
  <si>
    <t>Auditiva y ocular</t>
  </si>
  <si>
    <t>http://img.quodom.com.ar/categorias/55.png</t>
  </si>
  <si>
    <t>Craneana y facial</t>
  </si>
  <si>
    <t>http://img.quodom.com.ar/categorias/56.png</t>
  </si>
  <si>
    <t>Respiratoria</t>
  </si>
  <si>
    <t>http://img.quodom.com.ar/categorias/57.png</t>
  </si>
  <si>
    <t>http://img.quodom.com.ar/categorias/58.png</t>
  </si>
  <si>
    <t>http://img.quodom.com.ar/categorias/59.png</t>
  </si>
  <si>
    <t>Aluminio</t>
  </si>
  <si>
    <t>http://img.quodom.com.ar/categorias/60.png</t>
  </si>
  <si>
    <t>60s</t>
  </si>
  <si>
    <t>Cartón</t>
  </si>
  <si>
    <t>http://img.quodom.com.ar/categorias/61.png</t>
  </si>
  <si>
    <t>61s</t>
  </si>
  <si>
    <t>Gastronomía</t>
  </si>
  <si>
    <t>http://img.quodom.com.ar/categorias/62.png</t>
  </si>
  <si>
    <t>62s</t>
  </si>
  <si>
    <t>nombreproducto</t>
  </si>
  <si>
    <t>descripcion</t>
  </si>
  <si>
    <t>categoria</t>
  </si>
  <si>
    <t>categoriaPadre</t>
  </si>
  <si>
    <t>idatributo</t>
  </si>
  <si>
    <t>nombreatributo</t>
  </si>
  <si>
    <t>unidadmedida</t>
  </si>
  <si>
    <t>nombreunidadmedida</t>
  </si>
  <si>
    <t>atributo1</t>
  </si>
  <si>
    <t>atributo2</t>
  </si>
  <si>
    <t>atributoVendedor1</t>
  </si>
  <si>
    <t>atributoVendedor2</t>
  </si>
  <si>
    <t>Cera incolora 5 litros</t>
  </si>
  <si>
    <t>https://img.quodom.com.ar/producto/1.png</t>
  </si>
  <si>
    <t>Z1</t>
  </si>
  <si>
    <t>Listo en Balde 5 litros</t>
  </si>
  <si>
    <t>https://img.quodom.com.ar/producto/2.png</t>
  </si>
  <si>
    <t>Z2</t>
  </si>
  <si>
    <t>Lavandina concetrada 5 litros</t>
  </si>
  <si>
    <t>https://img.quodom.com.ar/producto/3.png</t>
  </si>
  <si>
    <t>Z3</t>
  </si>
  <si>
    <t>Pisos Plastificados 5 litros</t>
  </si>
  <si>
    <t>https://img.quodom.com.ar/producto/4.png</t>
  </si>
  <si>
    <t>Z4</t>
  </si>
  <si>
    <t>Alfombras y tapizados 5 litros</t>
  </si>
  <si>
    <t>https://img.quodom.com.ar/producto/5.png</t>
  </si>
  <si>
    <t>Z5</t>
  </si>
  <si>
    <t>Curador Siliconado 5 litros</t>
  </si>
  <si>
    <t>https://img.quodom.com.ar/producto/6.png</t>
  </si>
  <si>
    <t>Z6</t>
  </si>
  <si>
    <t>Limpiador neutro 5 litros</t>
  </si>
  <si>
    <t>https://img.quodom.com.ar/producto/7.png</t>
  </si>
  <si>
    <t>Z7</t>
  </si>
  <si>
    <t>Líquido para lampazo 5 litros</t>
  </si>
  <si>
    <t>https://img.quodom.com.ar/producto/8.png</t>
  </si>
  <si>
    <t>Z8</t>
  </si>
  <si>
    <t>Lustra muebles 5 litros</t>
  </si>
  <si>
    <t>https://img.quodom.com.ar/producto/9.png</t>
  </si>
  <si>
    <t>Z9</t>
  </si>
  <si>
    <t>Removedor de cera 5 litros</t>
  </si>
  <si>
    <t>https://img.quodom.com.ar/producto/10.png</t>
  </si>
  <si>
    <t>Z10</t>
  </si>
  <si>
    <t>Secuestrante de polvo 5 litros</t>
  </si>
  <si>
    <t>https://img.quodom.com.ar/producto/11.png</t>
  </si>
  <si>
    <t>Z11</t>
  </si>
  <si>
    <t>Jabón líquido 5 litros</t>
  </si>
  <si>
    <t>https://img.quodom.com.ar/producto/12.png</t>
  </si>
  <si>
    <t>Z12</t>
  </si>
  <si>
    <t>Jabón en polvo 5 kilos</t>
  </si>
  <si>
    <t>https://img.quodom.com.ar/producto/13.png</t>
  </si>
  <si>
    <t>Z13</t>
  </si>
  <si>
    <t>Suavizante 5 litros</t>
  </si>
  <si>
    <t>https://img.quodom.com.ar/producto/14.png</t>
  </si>
  <si>
    <t>Z14</t>
  </si>
  <si>
    <t>Suavizante triple frag. 5 litros</t>
  </si>
  <si>
    <t>https://img.quodom.com.ar/producto/15.png</t>
  </si>
  <si>
    <t>Z15</t>
  </si>
  <si>
    <t>Apresto 5 litros</t>
  </si>
  <si>
    <t>https://img.quodom.com.ar/producto/16.png</t>
  </si>
  <si>
    <t>Z16</t>
  </si>
  <si>
    <t>Blanqueador ropa blanca 5 litros</t>
  </si>
  <si>
    <t>https://img.quodom.com.ar/producto/17.png</t>
  </si>
  <si>
    <t>Z17</t>
  </si>
  <si>
    <t>Blanqueador ropa color 5 litros</t>
  </si>
  <si>
    <t>https://img.quodom.com.ar/producto/18.png</t>
  </si>
  <si>
    <t>Z18</t>
  </si>
  <si>
    <t>Desmanchador gel 5 litros</t>
  </si>
  <si>
    <t>https://img.quodom.com.ar/producto/19.png</t>
  </si>
  <si>
    <t>Z19</t>
  </si>
  <si>
    <t>Perfume 5 litros</t>
  </si>
  <si>
    <t>https://img.quodom.com.ar/producto/20.png</t>
  </si>
  <si>
    <t>Z20</t>
  </si>
  <si>
    <t>FRAGANCIA</t>
  </si>
  <si>
    <t>Prelavado 5 litros</t>
  </si>
  <si>
    <t>https://img.quodom.com.ar/producto/21.png</t>
  </si>
  <si>
    <t>Z21</t>
  </si>
  <si>
    <t>Detergente 5 litros</t>
  </si>
  <si>
    <t>https://img.quodom.com.ar/producto/22.png</t>
  </si>
  <si>
    <t>Z22</t>
  </si>
  <si>
    <t>Limpiador cremoso 5 litros</t>
  </si>
  <si>
    <t>https://img.quodom.com.ar/producto/23.png</t>
  </si>
  <si>
    <t>Z23</t>
  </si>
  <si>
    <t>Detergente lavavajilla 5 litros</t>
  </si>
  <si>
    <t>https://img.quodom.com.ar/producto/24.png</t>
  </si>
  <si>
    <t>Z24</t>
  </si>
  <si>
    <t>Lavandina en gel 5 litros</t>
  </si>
  <si>
    <t>https://img.quodom.com.ar/producto/25.png</t>
  </si>
  <si>
    <t>Z25</t>
  </si>
  <si>
    <t>Lavandina concentrada 5 litros</t>
  </si>
  <si>
    <t>https://img.quodom.com.ar/producto/26.png</t>
  </si>
  <si>
    <t>Z26</t>
  </si>
  <si>
    <t>Abrillantador 5 litros</t>
  </si>
  <si>
    <t>https://img.quodom.com.ar/producto/27.png</t>
  </si>
  <si>
    <t>Z27</t>
  </si>
  <si>
    <t>Amoníaco 5 litros</t>
  </si>
  <si>
    <t>https://img.quodom.com.ar/producto/28.png</t>
  </si>
  <si>
    <t>Z28</t>
  </si>
  <si>
    <t>Desengrasante en gel 5 litros</t>
  </si>
  <si>
    <t>https://img.quodom.com.ar/producto/29.png</t>
  </si>
  <si>
    <t>Z29</t>
  </si>
  <si>
    <t>Desengrasante con amoníaco 5 lts</t>
  </si>
  <si>
    <t>https://img.quodom.com.ar/producto/30.png</t>
  </si>
  <si>
    <t>Z30</t>
  </si>
  <si>
    <t>Descarbonizante 5 litros</t>
  </si>
  <si>
    <t>https://img.quodom.com.ar/producto/31.png</t>
  </si>
  <si>
    <t>Z31</t>
  </si>
  <si>
    <t>Fajinador de copas 5 litros</t>
  </si>
  <si>
    <t>https://img.quodom.com.ar/producto/32.png</t>
  </si>
  <si>
    <t>Z32</t>
  </si>
  <si>
    <t>Limpiador de hornos 5 litros</t>
  </si>
  <si>
    <t>https://img.quodom.com.ar/producto/33.png</t>
  </si>
  <si>
    <t>Z33</t>
  </si>
  <si>
    <t>Multiuso 5 litros</t>
  </si>
  <si>
    <t>https://img.quodom.com.ar/producto/34.png</t>
  </si>
  <si>
    <t>Z34</t>
  </si>
  <si>
    <t>Bolsa de residuos por 50 unidades</t>
  </si>
  <si>
    <t>https://img.quodom.com.ar/producto/41.png</t>
  </si>
  <si>
    <t>Z41</t>
  </si>
  <si>
    <t>TIPO</t>
  </si>
  <si>
    <t>Franela por 5 unidades</t>
  </si>
  <si>
    <t>https://img.quodom.com.ar/producto/42.png</t>
  </si>
  <si>
    <t>Z42</t>
  </si>
  <si>
    <t>MEDIDAS</t>
  </si>
  <si>
    <t>Trapo de piso por 5 unidades</t>
  </si>
  <si>
    <t>https://img.quodom.com.ar/producto/43.png</t>
  </si>
  <si>
    <t>Z43</t>
  </si>
  <si>
    <t>Trapo tipo Ballerina por 5 unidades</t>
  </si>
  <si>
    <t>https://img.quodom.com.ar/producto/44.png</t>
  </si>
  <si>
    <t>Z44</t>
  </si>
  <si>
    <t>Escobillon de cerda</t>
  </si>
  <si>
    <t>https://img.quodom.com.ar/producto/45.png</t>
  </si>
  <si>
    <t>Z45</t>
  </si>
  <si>
    <t>Escobillon cepillo</t>
  </si>
  <si>
    <t>https://img.quodom.com.ar/producto/46.png</t>
  </si>
  <si>
    <t>Z46</t>
  </si>
  <si>
    <t>Secadores</t>
  </si>
  <si>
    <t>https://img.quodom.com.ar/producto/47.png</t>
  </si>
  <si>
    <t>Z47</t>
  </si>
  <si>
    <t>Escobilla para baño</t>
  </si>
  <si>
    <t>https://img.quodom.com.ar/producto/48.png</t>
  </si>
  <si>
    <t>Z48</t>
  </si>
  <si>
    <t>Plumero</t>
  </si>
  <si>
    <t>https://img.quodom.com.ar/producto/49.png</t>
  </si>
  <si>
    <t>Z49</t>
  </si>
  <si>
    <t>Lampazo</t>
  </si>
  <si>
    <t>https://img.quodom.com.ar/producto/50.png</t>
  </si>
  <si>
    <t>Z50</t>
  </si>
  <si>
    <t>Cepillo de mano</t>
  </si>
  <si>
    <t>https://img.quodom.com.ar/producto/51.png</t>
  </si>
  <si>
    <t>Z51</t>
  </si>
  <si>
    <t>Balde con escurridor</t>
  </si>
  <si>
    <t>https://img.quodom.com.ar/producto/52.png</t>
  </si>
  <si>
    <t>Z52</t>
  </si>
  <si>
    <t>Recipiente con pedal</t>
  </si>
  <si>
    <t>https://img.quodom.com.ar/producto/53.png</t>
  </si>
  <si>
    <t>Z53</t>
  </si>
  <si>
    <t>Cesto calado</t>
  </si>
  <si>
    <t>https://img.quodom.com.ar/producto/54.png</t>
  </si>
  <si>
    <t>Z54</t>
  </si>
  <si>
    <t>Canasto para ropa</t>
  </si>
  <si>
    <t>https://img.quodom.com.ar/producto/55.png</t>
  </si>
  <si>
    <t>Z55</t>
  </si>
  <si>
    <t>Balde 12 lts</t>
  </si>
  <si>
    <t>https://img.quodom.com.ar/producto/56.png</t>
  </si>
  <si>
    <t>Z56</t>
  </si>
  <si>
    <t>Recipiente residuos 70 lts</t>
  </si>
  <si>
    <t>https://img.quodom.com.ar/producto/57.png</t>
  </si>
  <si>
    <t>Z57</t>
  </si>
  <si>
    <t>Fuentón 35 lts</t>
  </si>
  <si>
    <t>https://img.quodom.com.ar/producto/58.png</t>
  </si>
  <si>
    <t>Z58</t>
  </si>
  <si>
    <t>Guantes Mapa por 5 pares</t>
  </si>
  <si>
    <t>https://img.quodom.com.ar/producto/59.png</t>
  </si>
  <si>
    <t>Z59</t>
  </si>
  <si>
    <t>TALLE</t>
  </si>
  <si>
    <t>Guantes Latex por 100 unidades</t>
  </si>
  <si>
    <t>https://img.quodom.com.ar/producto/60.png</t>
  </si>
  <si>
    <t>Z60</t>
  </si>
  <si>
    <t>Guantes Nitrilo negros por 100 unidades</t>
  </si>
  <si>
    <t>https://img.quodom.com.ar/producto/61.png</t>
  </si>
  <si>
    <t>Z61</t>
  </si>
  <si>
    <t>Esponja de cocina por 10 unidades</t>
  </si>
  <si>
    <t>https://img.quodom.com.ar/producto/62.png</t>
  </si>
  <si>
    <t>Z62</t>
  </si>
  <si>
    <t>Esponja de acero por 10 unidades</t>
  </si>
  <si>
    <t>https://img.quodom.com.ar/producto/63.png</t>
  </si>
  <si>
    <t>Z63</t>
  </si>
  <si>
    <t>Alcohol 70% por 5 litros</t>
  </si>
  <si>
    <t>https://img.quodom.com.ar/producto/64.png</t>
  </si>
  <si>
    <t>Z64</t>
  </si>
  <si>
    <t>Alcohol 96% por 5 litros</t>
  </si>
  <si>
    <t>https://img.quodom.com.ar/producto/65.png</t>
  </si>
  <si>
    <t>Z65</t>
  </si>
  <si>
    <t>Acohol en gel por 5 litros</t>
  </si>
  <si>
    <t>https://img.quodom.com.ar/producto/66.png</t>
  </si>
  <si>
    <t>Z66</t>
  </si>
  <si>
    <t>Shampoo por 5 litros</t>
  </si>
  <si>
    <t>https://img.quodom.com.ar/producto/67.png</t>
  </si>
  <si>
    <t>Z67</t>
  </si>
  <si>
    <t>Jabón líquido de manos por 5 litros</t>
  </si>
  <si>
    <t>https://img.quodom.com.ar/producto/68.png</t>
  </si>
  <si>
    <t>Z68</t>
  </si>
  <si>
    <t>Silicona en Gel por 5 litros</t>
  </si>
  <si>
    <t>https://img.quodom.com.ar/producto/69.png</t>
  </si>
  <si>
    <t>Z69</t>
  </si>
  <si>
    <t>Brillo final por 5 litros</t>
  </si>
  <si>
    <t>https://img.quodom.com.ar/producto/70.png</t>
  </si>
  <si>
    <t>Z70</t>
  </si>
  <si>
    <t>Desengrasante de carrocería por 5 lts</t>
  </si>
  <si>
    <t>https://img.quodom.com.ar/producto/71.png</t>
  </si>
  <si>
    <t>Z71</t>
  </si>
  <si>
    <t>Espuma activa por 5 litros</t>
  </si>
  <si>
    <t>https://img.quodom.com.ar/producto/72.png</t>
  </si>
  <si>
    <t>Z72</t>
  </si>
  <si>
    <t>Lava motores por 5 litros</t>
  </si>
  <si>
    <t>https://img.quodom.com.ar/producto/73.png</t>
  </si>
  <si>
    <t>Z73</t>
  </si>
  <si>
    <t>Silicona cubiertas por 5 litros</t>
  </si>
  <si>
    <t>https://img.quodom.com.ar/producto/74.png</t>
  </si>
  <si>
    <t>Z74</t>
  </si>
  <si>
    <t>Alguicida por 5 litros</t>
  </si>
  <si>
    <t>https://img.quodom.com.ar/producto/76.png</t>
  </si>
  <si>
    <t>Z76</t>
  </si>
  <si>
    <t>Clarificador por 5 litros</t>
  </si>
  <si>
    <t>https://img.quodom.com.ar/producto/77.png</t>
  </si>
  <si>
    <t>Z77</t>
  </si>
  <si>
    <t>Cloro líquido por 5 litros</t>
  </si>
  <si>
    <t>https://img.quodom.com.ar/producto/78.png</t>
  </si>
  <si>
    <t>Z78</t>
  </si>
  <si>
    <t>Cloro granulado rápido por 5 litros</t>
  </si>
  <si>
    <t>https://img.quodom.com.ar/producto/79.png</t>
  </si>
  <si>
    <t>Z79</t>
  </si>
  <si>
    <t>Cloro granulado lento por 5 litros</t>
  </si>
  <si>
    <t>https://img.quodom.com.ar/producto/80.png</t>
  </si>
  <si>
    <t>Z80</t>
  </si>
  <si>
    <t>Cloro en pastillas por 1 kg</t>
  </si>
  <si>
    <t>https://img.quodom.com.ar/producto/81.png</t>
  </si>
  <si>
    <t>Z81</t>
  </si>
  <si>
    <t>Cascote picado por m3</t>
  </si>
  <si>
    <t>https://img.quodom.com.ar/producto/82.png</t>
  </si>
  <si>
    <t>Z82</t>
  </si>
  <si>
    <t>Arena por m3</t>
  </si>
  <si>
    <t>https://img.quodom.com.ar/producto/83.png</t>
  </si>
  <si>
    <t>Z83</t>
  </si>
  <si>
    <t>Tosca por m3</t>
  </si>
  <si>
    <t>https://img.quodom.com.ar/producto/84.png</t>
  </si>
  <si>
    <t>Z84</t>
  </si>
  <si>
    <t>Piedra blanca por m3</t>
  </si>
  <si>
    <t>https://img.quodom.com.ar/producto/85.png</t>
  </si>
  <si>
    <t>Z85</t>
  </si>
  <si>
    <t>Piedra binder 3/6 por m3</t>
  </si>
  <si>
    <t>https://img.quodom.com.ar/producto/86.png</t>
  </si>
  <si>
    <t>Z86</t>
  </si>
  <si>
    <t>Piedra binder 6/12 por m3</t>
  </si>
  <si>
    <t>https://img.quodom.com.ar/producto/87.png</t>
  </si>
  <si>
    <t>Z87</t>
  </si>
  <si>
    <t>Piedra binder 6/20 por m3</t>
  </si>
  <si>
    <t>https://img.quodom.com.ar/producto/88.png</t>
  </si>
  <si>
    <t>Z88</t>
  </si>
  <si>
    <t>Cemento por 50 kg</t>
  </si>
  <si>
    <t>https://img.quodom.com.ar/producto/89.png</t>
  </si>
  <si>
    <t>Z89</t>
  </si>
  <si>
    <t>Cal por 25 kg</t>
  </si>
  <si>
    <t>https://img.quodom.com.ar/producto/90.png</t>
  </si>
  <si>
    <t>Z90</t>
  </si>
  <si>
    <t>Yeso por 30 kg</t>
  </si>
  <si>
    <t>https://img.quodom.com.ar/producto/91.png</t>
  </si>
  <si>
    <t>Z91</t>
  </si>
  <si>
    <t>Ceresita 20 kg</t>
  </si>
  <si>
    <t>https://img.quodom.com.ar/producto/92.png</t>
  </si>
  <si>
    <t>Z92</t>
  </si>
  <si>
    <t>Revoque fino interior por 30 kg</t>
  </si>
  <si>
    <t>https://img.quodom.com.ar/producto/93.png</t>
  </si>
  <si>
    <t>Z93</t>
  </si>
  <si>
    <t>Mortero de reparación por 25 kg</t>
  </si>
  <si>
    <t>https://img.quodom.com.ar/producto/94.png</t>
  </si>
  <si>
    <t>Z94</t>
  </si>
  <si>
    <t>Tierra refractaria 10 kg</t>
  </si>
  <si>
    <t>https://img.quodom.com.ar/producto/95.png</t>
  </si>
  <si>
    <t>Z95</t>
  </si>
  <si>
    <t>Adhesivo refractario 20 kg</t>
  </si>
  <si>
    <t>https://img.quodom.com.ar/producto/96.png</t>
  </si>
  <si>
    <t>Z96</t>
  </si>
  <si>
    <t>Ladrillo techo 11 x 38 x 24 cm (pallet 80 unidades)</t>
  </si>
  <si>
    <t>https://img.quodom.com.ar/producto/97.png</t>
  </si>
  <si>
    <t>Z97</t>
  </si>
  <si>
    <t>Klimablock 27 x 19 x 20 cm (pallet 75 unidades)</t>
  </si>
  <si>
    <t>https://img.quodom.com.ar/producto/98.png</t>
  </si>
  <si>
    <t>Z98</t>
  </si>
  <si>
    <t>Ladrillo común 24 x 11 x 5,5 cm (40 unidades)</t>
  </si>
  <si>
    <t>Ladrillo común 24 x11 x 5,5 cm (40 unidades)</t>
  </si>
  <si>
    <t>https://img.quodom.com.ar/producto/99.png</t>
  </si>
  <si>
    <t>Z99</t>
  </si>
  <si>
    <t>Listón Mar del Plata 23 x 11,5 x 12 cm (50 unidades)</t>
  </si>
  <si>
    <t>Listón Mar del Plata 23x11,5x12 cm (50 unidades)</t>
  </si>
  <si>
    <t>https://img.quodom.com.ar/producto/100.png</t>
  </si>
  <si>
    <t>Z100</t>
  </si>
  <si>
    <t>Ladrillo 1/2 vista 23 x 11 x 5 cm (50 unidades)</t>
  </si>
  <si>
    <t>https://img.quodom.com.ar/producto/101.png</t>
  </si>
  <si>
    <t>Z101</t>
  </si>
  <si>
    <t>Ladrillo vista 23 x 11 x 5 cm (50 unidades)</t>
  </si>
  <si>
    <t>https://img.quodom.com.ar/producto/102.png</t>
  </si>
  <si>
    <t>Z102</t>
  </si>
  <si>
    <t>Ladrillo hueco 8 x 18 x 33 cm (50 unidades)</t>
  </si>
  <si>
    <t>https://img.quodom.com.ar/producto/103.png</t>
  </si>
  <si>
    <t>Z103</t>
  </si>
  <si>
    <t>Ladrillo hueco 12 x 18 x 33 cm – 6 agujeros (50 unidades)</t>
  </si>
  <si>
    <t>Ladrillo hueco 12 x 18 x 33 cm – 6 agujeros</t>
  </si>
  <si>
    <t>https://img.quodom.com.ar/producto/104.png</t>
  </si>
  <si>
    <t>Z104</t>
  </si>
  <si>
    <t>Ladrillo hueco 12 x 18 x 33 cm – 9 agujeros (50 unidades)</t>
  </si>
  <si>
    <t>https://img.quodom.com.ar/producto/105.png</t>
  </si>
  <si>
    <t>Z105</t>
  </si>
  <si>
    <t>Ladrillo hueco 18 x 18 x 33 cm (50 unidades)</t>
  </si>
  <si>
    <t>https://img.quodom.com.ar/producto/106.png</t>
  </si>
  <si>
    <t>Z106</t>
  </si>
  <si>
    <t>Ladrillo portante 12 x 19 x 33 cm (50 unidades)</t>
  </si>
  <si>
    <t>https://img.quodom.com.ar/producto/107.png</t>
  </si>
  <si>
    <t>Z107</t>
  </si>
  <si>
    <t>Ladrillo portante 18 x 19 x 33 cm (50 unidades)</t>
  </si>
  <si>
    <t>https://img.quodom.com.ar/producto/108.png</t>
  </si>
  <si>
    <t>Z108</t>
  </si>
  <si>
    <t>Ladrillo refractario 22 x 11 x 6 cm (50 unidades)</t>
  </si>
  <si>
    <t>https://img.quodom.com.ar/producto/109.png</t>
  </si>
  <si>
    <t>Z109</t>
  </si>
  <si>
    <t>Listón refractario 22 x 6 x 2 cm (30 unidades)</t>
  </si>
  <si>
    <t>Listón refractario 22 x 6 x 2 cm (50 unidades)</t>
  </si>
  <si>
    <t>https://img.quodom.com.ar/producto/110.png</t>
  </si>
  <si>
    <t>Z110</t>
  </si>
  <si>
    <t>Tejuela refractaria 23 x 12 x 2 cm (30 unidades)</t>
  </si>
  <si>
    <t>Tejuela refractaria 23 x 12 x 2 cm (50 unidades)</t>
  </si>
  <si>
    <t>https://img.quodom.com.ar/producto/111.png</t>
  </si>
  <si>
    <t>Z111</t>
  </si>
  <si>
    <t>Naríz refractaria 22 x 11 x 2 cm (30 unidades)</t>
  </si>
  <si>
    <t>Naríz refractaria 22 x 11 x 2 cm (50 unidades)</t>
  </si>
  <si>
    <t>https://img.quodom.com.ar/producto/112.png</t>
  </si>
  <si>
    <t>Z112</t>
  </si>
  <si>
    <t>Naríz refractaria 15 x 6 x 3 cm (30 unidades)</t>
  </si>
  <si>
    <t>Naríz refractaria 15 x 6 x 3 cm (50 unidades)</t>
  </si>
  <si>
    <t>https://img.quodom.com.ar/producto/113.png</t>
  </si>
  <si>
    <t>Z113</t>
  </si>
  <si>
    <t>Bloque de hormigon Liso T10 9 x 39 x 19 cm (25 unidades)</t>
  </si>
  <si>
    <t>https://img.quodom.com.ar/producto/114.png</t>
  </si>
  <si>
    <t>Z114</t>
  </si>
  <si>
    <t>Bloque de hormigon Liso P13 13 x 39 x 19 cm (25 unidades)</t>
  </si>
  <si>
    <t>https://img.quodom.com.ar/producto/115.png</t>
  </si>
  <si>
    <t>Z115</t>
  </si>
  <si>
    <t>Bloque de hormigon Liso P20 PC 19 x 39 x 19 cm (25 unidades)</t>
  </si>
  <si>
    <t>https://img.quodom.com.ar/producto/116.png</t>
  </si>
  <si>
    <t>Z116</t>
  </si>
  <si>
    <t>Bloque de hormigon Split clas. gris P13 SPT 13x39x19 cm (25 unidades)</t>
  </si>
  <si>
    <t>https://img.quodom.com.ar/producto/117.png</t>
  </si>
  <si>
    <t>Z117</t>
  </si>
  <si>
    <t>Bloque de hormigon Split clas. gris P20 SPT 19x39x19 cm (25 unidades)</t>
  </si>
  <si>
    <t>https://img.quodom.com.ar/producto/118.png</t>
  </si>
  <si>
    <t>Z118</t>
  </si>
  <si>
    <t>Vigueta pretensada</t>
  </si>
  <si>
    <t>https://img.quodom.com.ar/producto/119.png</t>
  </si>
  <si>
    <t>Z119</t>
  </si>
  <si>
    <t>Telgopor plancha 2 cm - 10 x 42 x 100 cm (5 unidades)</t>
  </si>
  <si>
    <t>Telgopor plancha 2 cm - 10 x 42 x 100 cm</t>
  </si>
  <si>
    <t>https://img.quodom.com.ar/producto/120.png</t>
  </si>
  <si>
    <t>Z120</t>
  </si>
  <si>
    <t>Telgopor plancha 2 cm - 12 x 40 x 100 cm (5 unidades)</t>
  </si>
  <si>
    <t>Telgopor plancha 2 cm - 12 x 40 x 100 cm</t>
  </si>
  <si>
    <t>https://img.quodom.com.ar/producto/121.png</t>
  </si>
  <si>
    <t>Z121</t>
  </si>
  <si>
    <t>Clavo por 1 kg</t>
  </si>
  <si>
    <t>https://img.quodom.com.ar/producto/122.png</t>
  </si>
  <si>
    <t>Z122</t>
  </si>
  <si>
    <t>Hierro liso en rollo por 1 kg</t>
  </si>
  <si>
    <t>https://img.quodom.com.ar/producto/123.png</t>
  </si>
  <si>
    <t>Z123</t>
  </si>
  <si>
    <t>Alambre de fardo N°16 por 1 kg</t>
  </si>
  <si>
    <t>Alambre de fardo N°16 por kg</t>
  </si>
  <si>
    <t>https://img.quodom.com.ar/producto/124.png</t>
  </si>
  <si>
    <t>Z124</t>
  </si>
  <si>
    <t>Guardacantos yesero 2 mts (4 unidades)</t>
  </si>
  <si>
    <t>Guardacantos yesero 2 mts</t>
  </si>
  <si>
    <t>https://img.quodom.com.ar/producto/125.png</t>
  </si>
  <si>
    <t>Z125</t>
  </si>
  <si>
    <t>Metal desplegado reforzado 0,75 x 2 mts</t>
  </si>
  <si>
    <t>https://img.quodom.com.ar/producto/126.png</t>
  </si>
  <si>
    <t>Z126</t>
  </si>
  <si>
    <t>Hierro ADN 12 mts</t>
  </si>
  <si>
    <t>https://img.quodom.com.ar/producto/127.png</t>
  </si>
  <si>
    <t>Z127</t>
  </si>
  <si>
    <t>Columna armada 8 mm por 4 mts</t>
  </si>
  <si>
    <t>https://img.quodom.com.ar/producto/128.png</t>
  </si>
  <si>
    <t>Z128</t>
  </si>
  <si>
    <t>Columna armada 10 mm por 4 mts</t>
  </si>
  <si>
    <t>https://img.quodom.com.ar/producto/129.png</t>
  </si>
  <si>
    <t>Z129</t>
  </si>
  <si>
    <t>Malla de hierro 5 x 2 mts</t>
  </si>
  <si>
    <t>https://img.quodom.com.ar/producto/130.png</t>
  </si>
  <si>
    <t>Z130</t>
  </si>
  <si>
    <t>Pintura asfáltica</t>
  </si>
  <si>
    <t>https://img.quodom.com.ar/producto/131.png</t>
  </si>
  <si>
    <t>Z131</t>
  </si>
  <si>
    <t>LITROS</t>
  </si>
  <si>
    <t>Emulsión asfáltica 18 lts</t>
  </si>
  <si>
    <t>https://img.quodom.com.ar/producto/132.png</t>
  </si>
  <si>
    <t>Z132</t>
  </si>
  <si>
    <t>Brea sólida 20 kg</t>
  </si>
  <si>
    <t>https://img.quodom.com.ar/producto/133.png</t>
  </si>
  <si>
    <t>Z133</t>
  </si>
  <si>
    <t>Fieltro asfáltico 40 mts</t>
  </si>
  <si>
    <t>https://img.quodom.com.ar/producto/134.png</t>
  </si>
  <si>
    <t>Z134</t>
  </si>
  <si>
    <t>Membrana asfáltica con aluminio 10 mts</t>
  </si>
  <si>
    <t>https://img.quodom.com.ar/producto/135.png</t>
  </si>
  <si>
    <t>Z135</t>
  </si>
  <si>
    <t>Membrana asfáltica autoadhesiva 10 mts</t>
  </si>
  <si>
    <t>https://img.quodom.com.ar/producto/136.png</t>
  </si>
  <si>
    <t>Z136</t>
  </si>
  <si>
    <t>Latex Interior Blanco Mate</t>
  </si>
  <si>
    <t>https://img.quodom.com.ar/producto/137.png</t>
  </si>
  <si>
    <t>Z137</t>
  </si>
  <si>
    <t>MARCA</t>
  </si>
  <si>
    <t>Latex Interior Blanco Satinado</t>
  </si>
  <si>
    <t>https://img.quodom.com.ar/producto/138.png</t>
  </si>
  <si>
    <t>Z138</t>
  </si>
  <si>
    <t>Latex Exterior Blanco Mate</t>
  </si>
  <si>
    <t>https://img.quodom.com.ar/producto/139.png</t>
  </si>
  <si>
    <t>Z139</t>
  </si>
  <si>
    <t>Cielorrasos Blanco Mate</t>
  </si>
  <si>
    <t>https://img.quodom.com.ar/producto/140.png</t>
  </si>
  <si>
    <t>Z140</t>
  </si>
  <si>
    <t>Impermeabilizante Fibrado Blanco</t>
  </si>
  <si>
    <t>https://img.quodom.com.ar/producto/141.png</t>
  </si>
  <si>
    <t>Z141</t>
  </si>
  <si>
    <t>Impermeabilizante Frente Blanco</t>
  </si>
  <si>
    <t>https://img.quodom.com.ar/producto/142.png</t>
  </si>
  <si>
    <t>Z142</t>
  </si>
  <si>
    <t>Impermeabilizante Techo Blanco</t>
  </si>
  <si>
    <t>https://img.quodom.com.ar/producto/143.png</t>
  </si>
  <si>
    <t>Z143</t>
  </si>
  <si>
    <t>Esmalte al agua Brillante</t>
  </si>
  <si>
    <t>https://img.quodom.com.ar/producto/144.png</t>
  </si>
  <si>
    <t>Z144</t>
  </si>
  <si>
    <t>COLOR</t>
  </si>
  <si>
    <t>Convertidor Brillante</t>
  </si>
  <si>
    <t>https://img.quodom.com.ar/producto/145.png</t>
  </si>
  <si>
    <t>Z145</t>
  </si>
  <si>
    <t>Epoxi sintetico Brillante 4 litros</t>
  </si>
  <si>
    <t>https://img.quodom.com.ar/producto/146.png</t>
  </si>
  <si>
    <t>Z146</t>
  </si>
  <si>
    <t>Epoxi al agua Satinado</t>
  </si>
  <si>
    <t>https://img.quodom.com.ar/producto/147.png</t>
  </si>
  <si>
    <t>Z147</t>
  </si>
  <si>
    <t>Azulejos Satinado Blanco</t>
  </si>
  <si>
    <t>https://img.quodom.com.ar/producto/148.png</t>
  </si>
  <si>
    <t>Z148</t>
  </si>
  <si>
    <t>Melamina y MDF Satinado Blanco</t>
  </si>
  <si>
    <t>https://img.quodom.com.ar/producto/149.png</t>
  </si>
  <si>
    <t>Z149</t>
  </si>
  <si>
    <t>https://img.quodom.com.ar/producto/150.png</t>
  </si>
  <si>
    <t>Z150</t>
  </si>
  <si>
    <t>Martillado</t>
  </si>
  <si>
    <t>https://img.quodom.com.ar/producto/151.png</t>
  </si>
  <si>
    <t>Z151</t>
  </si>
  <si>
    <t>Esmalte para soplete</t>
  </si>
  <si>
    <t>https://img.quodom.com.ar/producto/152.png</t>
  </si>
  <si>
    <t>Z152</t>
  </si>
  <si>
    <t>Esmalte Poliuretánico brillante</t>
  </si>
  <si>
    <t>https://img.quodom.com.ar/producto/153.png</t>
  </si>
  <si>
    <t>Z153</t>
  </si>
  <si>
    <t>Fondo para galvanizado</t>
  </si>
  <si>
    <t>https://img.quodom.com.ar/producto/154.png</t>
  </si>
  <si>
    <t>Z154</t>
  </si>
  <si>
    <t>Masilla para madera 200 gr</t>
  </si>
  <si>
    <t>https://img.quodom.com.ar/producto/155.png</t>
  </si>
  <si>
    <t>Z155</t>
  </si>
  <si>
    <t>Plastificante</t>
  </si>
  <si>
    <t>https://img.quodom.com.ar/producto/156.png</t>
  </si>
  <si>
    <t>Z156</t>
  </si>
  <si>
    <t>TERMINACION</t>
  </si>
  <si>
    <t>Impregnante</t>
  </si>
  <si>
    <t>https://img.quodom.com.ar/producto/157.png</t>
  </si>
  <si>
    <t>Z157</t>
  </si>
  <si>
    <t>Barniz interior</t>
  </si>
  <si>
    <t>https://img.quodom.com.ar/producto/158.png</t>
  </si>
  <si>
    <t>Z158</t>
  </si>
  <si>
    <t>Fondo para madera blanco</t>
  </si>
  <si>
    <t>https://img.quodom.com.ar/producto/159.png</t>
  </si>
  <si>
    <t>Z159</t>
  </si>
  <si>
    <t>Laca para pisos</t>
  </si>
  <si>
    <t>https://img.quodom.com.ar/producto/160.png</t>
  </si>
  <si>
    <t>Z160</t>
  </si>
  <si>
    <t>Ignífugo 5 lts</t>
  </si>
  <si>
    <t>https://img.quodom.com.ar/producto/161.png</t>
  </si>
  <si>
    <t>Z161</t>
  </si>
  <si>
    <t>Mateante</t>
  </si>
  <si>
    <t>https://img.quodom.com.ar/producto/162.png</t>
  </si>
  <si>
    <t>Z162</t>
  </si>
  <si>
    <t>Preservador</t>
  </si>
  <si>
    <t>https://img.quodom.com.ar/producto/163.png</t>
  </si>
  <si>
    <t>Z163</t>
  </si>
  <si>
    <t>Sal de limón 1 litro</t>
  </si>
  <si>
    <t>https://img.quodom.com.ar/producto/164.png</t>
  </si>
  <si>
    <t>Z164</t>
  </si>
  <si>
    <t>Tinta 60 ml</t>
  </si>
  <si>
    <t>https://img.quodom.com.ar/producto/165.png</t>
  </si>
  <si>
    <t>Z165</t>
  </si>
  <si>
    <t>Simil madera 0,75 litros Venier</t>
  </si>
  <si>
    <t>https://img.quodom.com.ar/producto/166.png</t>
  </si>
  <si>
    <t>Z166</t>
  </si>
  <si>
    <t>Pincel para Latex</t>
  </si>
  <si>
    <t>https://img.quodom.com.ar/producto/181.png</t>
  </si>
  <si>
    <t>Z181</t>
  </si>
  <si>
    <t>Rodillo de Lana</t>
  </si>
  <si>
    <t>https://img.quodom.com.ar/producto/182.png</t>
  </si>
  <si>
    <t>Z182</t>
  </si>
  <si>
    <t>Espátula Metálica</t>
  </si>
  <si>
    <t>https://img.quodom.com.ar/producto/183.png</t>
  </si>
  <si>
    <t>Z183</t>
  </si>
  <si>
    <t>Llana Metálica</t>
  </si>
  <si>
    <t>https://img.quodom.com.ar/producto/184.png</t>
  </si>
  <si>
    <t>Z184</t>
  </si>
  <si>
    <t>Bandeja Plana</t>
  </si>
  <si>
    <t>https://img.quodom.com.ar/producto/185.png</t>
  </si>
  <si>
    <t>Z185</t>
  </si>
  <si>
    <t>TAMAÑO</t>
  </si>
  <si>
    <t>Fratacho 20 x 13 cm</t>
  </si>
  <si>
    <t>https://img.quodom.com.ar/producto/186.png</t>
  </si>
  <si>
    <t>Z186</t>
  </si>
  <si>
    <t>Cepillo de acero</t>
  </si>
  <si>
    <t>https://img.quodom.com.ar/producto/187.png</t>
  </si>
  <si>
    <t>Z187</t>
  </si>
  <si>
    <t>Lijas al agua por 10 unidades</t>
  </si>
  <si>
    <t>https://img.quodom.com.ar/producto/188.png</t>
  </si>
  <si>
    <t>Z188</t>
  </si>
  <si>
    <t>GRANO</t>
  </si>
  <si>
    <t>Escalera de madera</t>
  </si>
  <si>
    <t>https://img.quodom.com.ar/producto/189.png</t>
  </si>
  <si>
    <t>Z189</t>
  </si>
  <si>
    <t>Caballete 80 cm</t>
  </si>
  <si>
    <t>https://img.quodom.com.ar/producto/190.png</t>
  </si>
  <si>
    <t>Z190</t>
  </si>
  <si>
    <t>Cinta multiuso Blanca por 5 unidades</t>
  </si>
  <si>
    <t>https://img.quodom.com.ar/producto/192.png</t>
  </si>
  <si>
    <t>Z192</t>
  </si>
  <si>
    <t>Cartón corrugado 0,80 x 30 mts</t>
  </si>
  <si>
    <t>https://img.quodom.com.ar/producto/193.png</t>
  </si>
  <si>
    <t>Z193</t>
  </si>
  <si>
    <t>Pistola aplicadora de cartucho sellador</t>
  </si>
  <si>
    <t>https://img.quodom.com.ar/producto/194.png</t>
  </si>
  <si>
    <t>Z194</t>
  </si>
  <si>
    <t>Enduído</t>
  </si>
  <si>
    <t>https://img.quodom.com.ar/producto/195.png</t>
  </si>
  <si>
    <t>Z195</t>
  </si>
  <si>
    <t>PESO</t>
  </si>
  <si>
    <t>Fijador/Sellador</t>
  </si>
  <si>
    <t>https://img.quodom.com.ar/producto/196.png</t>
  </si>
  <si>
    <t>Z196</t>
  </si>
  <si>
    <t>Removedor Gel</t>
  </si>
  <si>
    <t>https://img.quodom.com.ar/producto/197.png</t>
  </si>
  <si>
    <t>Z197</t>
  </si>
  <si>
    <t>Masilla Elástica</t>
  </si>
  <si>
    <t>https://img.quodom.com.ar/producto/198.png</t>
  </si>
  <si>
    <t>Z198</t>
  </si>
  <si>
    <t>Codo a 45° pack 10 unidades</t>
  </si>
  <si>
    <t>https://img.quodom.com.ar/producto/200.png</t>
  </si>
  <si>
    <t>Z200</t>
  </si>
  <si>
    <t>Codo a 90° pack 10 unidades</t>
  </si>
  <si>
    <t>https://img.quodom.com.ar/producto/201.png</t>
  </si>
  <si>
    <t>Z201</t>
  </si>
  <si>
    <t>Codo a 90° rosca hembra pack 10 unidades</t>
  </si>
  <si>
    <t>https://img.quodom.com.ar/producto/202.png</t>
  </si>
  <si>
    <t>Z202</t>
  </si>
  <si>
    <t>Te rosca central hembra pack 10 unidades</t>
  </si>
  <si>
    <t>https://img.quodom.com.ar/producto/203.png</t>
  </si>
  <si>
    <t>Z203</t>
  </si>
  <si>
    <t>Te normal pack 10 unidades</t>
  </si>
  <si>
    <t>https://img.quodom.com.ar/producto/204.png</t>
  </si>
  <si>
    <t>Z204</t>
  </si>
  <si>
    <t>Te reducción central pack 10 unidades</t>
  </si>
  <si>
    <t>https://img.quodom.com.ar/producto/205.png</t>
  </si>
  <si>
    <t>Z205</t>
  </si>
  <si>
    <t>Tubo hembra pack 10 unidades</t>
  </si>
  <si>
    <t>https://img.quodom.com.ar/producto/206.png</t>
  </si>
  <si>
    <t>Z206</t>
  </si>
  <si>
    <t>Tubo macho pack 10 unidades</t>
  </si>
  <si>
    <t>https://img.quodom.com.ar/producto/207.png</t>
  </si>
  <si>
    <t>Z207</t>
  </si>
  <si>
    <t>Tubo ppr3 PN12.5 pack 10 unidades</t>
  </si>
  <si>
    <t>https://img.quodom.com.ar/producto/208.png</t>
  </si>
  <si>
    <t>Z208</t>
  </si>
  <si>
    <t>Tubo ppr3 PN20 pack 10 unidades</t>
  </si>
  <si>
    <t>https://img.quodom.com.ar/producto/209.png</t>
  </si>
  <si>
    <t>Z209</t>
  </si>
  <si>
    <t>Llave de paso pleno</t>
  </si>
  <si>
    <t>https://img.quodom.com.ar/producto/210.png</t>
  </si>
  <si>
    <t>Z210</t>
  </si>
  <si>
    <t>Tapa pack 10 unidades</t>
  </si>
  <si>
    <t>https://img.quodom.com.ar/producto/211.png</t>
  </si>
  <si>
    <t>Z211</t>
  </si>
  <si>
    <t>Unión doble con brida</t>
  </si>
  <si>
    <t>https://img.quodom.com.ar/producto/212.png</t>
  </si>
  <si>
    <t>Z212</t>
  </si>
  <si>
    <t>Unión doble pack 10 unidades</t>
  </si>
  <si>
    <t>https://img.quodom.com.ar/producto/213.png</t>
  </si>
  <si>
    <t>Z213</t>
  </si>
  <si>
    <t>Cupla de unión simple pack 10 unidades</t>
  </si>
  <si>
    <t>https://img.quodom.com.ar/producto/214.png</t>
  </si>
  <si>
    <t>Z214</t>
  </si>
  <si>
    <t>Curva de sobrepasaje pack 10 unidades</t>
  </si>
  <si>
    <t>https://img.quodom.com.ar/producto/215.png</t>
  </si>
  <si>
    <t>Z215</t>
  </si>
  <si>
    <t>Base metálica para tanque</t>
  </si>
  <si>
    <t>https://img.quodom.com.ar/producto/216.png</t>
  </si>
  <si>
    <t>Z216</t>
  </si>
  <si>
    <t>Tanque cisterna 1250 lts</t>
  </si>
  <si>
    <t>https://img.quodom.com.ar/producto/217.png</t>
  </si>
  <si>
    <t>Z217</t>
  </si>
  <si>
    <t>Tanque cuadrado</t>
  </si>
  <si>
    <t>https://img.quodom.com.ar/producto/218.png</t>
  </si>
  <si>
    <t>Z218</t>
  </si>
  <si>
    <t>Tanque extrachato</t>
  </si>
  <si>
    <t>https://img.quodom.com.ar/producto/219.png</t>
  </si>
  <si>
    <t>Z219</t>
  </si>
  <si>
    <t>Tanque bicapa</t>
  </si>
  <si>
    <t>https://img.quodom.com.ar/producto/220.png</t>
  </si>
  <si>
    <t>Z220</t>
  </si>
  <si>
    <t>Tanque tricapa</t>
  </si>
  <si>
    <t>https://img.quodom.com.ar/producto/221.png</t>
  </si>
  <si>
    <t>Z221</t>
  </si>
  <si>
    <t>Tanque cuatricapa</t>
  </si>
  <si>
    <t>https://img.quodom.com.ar/producto/222.png</t>
  </si>
  <si>
    <t>Z222</t>
  </si>
  <si>
    <t>Tanque vertical</t>
  </si>
  <si>
    <t>https://img.quodom.com.ar/producto/223.png</t>
  </si>
  <si>
    <t>Z223</t>
  </si>
  <si>
    <t>Flotante para tanques</t>
  </si>
  <si>
    <t>https://img.quodom.com.ar/producto/224.png</t>
  </si>
  <si>
    <t>Z224</t>
  </si>
  <si>
    <t>Tapon Macho roscado pack 10 unidades</t>
  </si>
  <si>
    <t>https://img.quodom.com.ar/producto/225.png</t>
  </si>
  <si>
    <t>Z225</t>
  </si>
  <si>
    <t>Tubo cloacal pack 10 unidades</t>
  </si>
  <si>
    <t>https://img.quodom.com.ar/producto/226.png</t>
  </si>
  <si>
    <t>Z226</t>
  </si>
  <si>
    <t>Codo a 45° Hembra-Hembra pack 10 unidades</t>
  </si>
  <si>
    <t>https://img.quodom.com.ar/producto/227.png</t>
  </si>
  <si>
    <t>Z227</t>
  </si>
  <si>
    <t>Codo a 45° Macho-Hembra pack 10 unidades</t>
  </si>
  <si>
    <t>https://img.quodom.com.ar/producto/228.png</t>
  </si>
  <si>
    <t>Z228</t>
  </si>
  <si>
    <t>Codo 87°30 Hembra-Hembra corto pack 10 unidades</t>
  </si>
  <si>
    <t>https://img.quodom.com.ar/producto/229.png</t>
  </si>
  <si>
    <t>Z229</t>
  </si>
  <si>
    <t>Codo 87°30 Hembra-Hembra pack 10 unidades</t>
  </si>
  <si>
    <t>https://img.quodom.com.ar/producto/230.png</t>
  </si>
  <si>
    <t>Z230</t>
  </si>
  <si>
    <t>Codo 87°30 Macho-Hembra pack 10 unidades</t>
  </si>
  <si>
    <t>https://img.quodom.com.ar/producto/231.png</t>
  </si>
  <si>
    <t>Z231</t>
  </si>
  <si>
    <t>Codo poliangular 0 a 45 Macho-Hembra pack 10 unidades</t>
  </si>
  <si>
    <t>https://img.quodom.com.ar/producto/232.png</t>
  </si>
  <si>
    <t>Z232</t>
  </si>
  <si>
    <t>Cupla corrediza Hembra-Hembra pack 10 unidades</t>
  </si>
  <si>
    <t>https://img.quodom.com.ar/producto/233.png</t>
  </si>
  <si>
    <t>Z233</t>
  </si>
  <si>
    <t>Ramal 45° con reducción H-H pack 5 unidades</t>
  </si>
  <si>
    <t>https://img.quodom.com.ar/producto/234.png</t>
  </si>
  <si>
    <t>Z234</t>
  </si>
  <si>
    <t>Ramal 45° con reducción M-H pack 5 unidades</t>
  </si>
  <si>
    <t>https://img.quodom.com.ar/producto/235.png</t>
  </si>
  <si>
    <t>Z235</t>
  </si>
  <si>
    <t>Ramal 45° Hembra-Hembra pack 5 unidades</t>
  </si>
  <si>
    <t>https://img.quodom.com.ar/producto/236.png</t>
  </si>
  <si>
    <t>Z236</t>
  </si>
  <si>
    <t>Ramal 45° Macho-Hembra pack 5 unidades</t>
  </si>
  <si>
    <t>https://img.quodom.com.ar/producto/237.png</t>
  </si>
  <si>
    <t>Z237</t>
  </si>
  <si>
    <t>Ramal 87°30 c/reducción M-H pack 5 unidades</t>
  </si>
  <si>
    <t>https://img.quodom.com.ar/producto/238.png</t>
  </si>
  <si>
    <t>Z238</t>
  </si>
  <si>
    <t>Ramal 87°30 c/ventilación M-H pack 5 unidades</t>
  </si>
  <si>
    <t>https://img.quodom.com.ar/producto/239.png</t>
  </si>
  <si>
    <t>Z239</t>
  </si>
  <si>
    <t>Ramal 87°30 Hembra-Hembra pack 5 unidades</t>
  </si>
  <si>
    <t>https://img.quodom.com.ar/producto/240.png</t>
  </si>
  <si>
    <t>Z240</t>
  </si>
  <si>
    <t>Ramal invertido Macho-Hembra pack 5 unidades</t>
  </si>
  <si>
    <t>https://img.quodom.com.ar/producto/241.png</t>
  </si>
  <si>
    <t>Z241</t>
  </si>
  <si>
    <t>Curva 87 30 c/base Macho-Hembra pack 12 unidades</t>
  </si>
  <si>
    <t>https://img.quodom.com.ar/producto/242.png</t>
  </si>
  <si>
    <t>Z242</t>
  </si>
  <si>
    <t>Curva 87 30 Macho-Hembra pack</t>
  </si>
  <si>
    <t>https://img.quodom.com.ar/producto/243.png</t>
  </si>
  <si>
    <t>Z243</t>
  </si>
  <si>
    <t>Pileta de balcón pack 5 unidades</t>
  </si>
  <si>
    <t>https://img.quodom.com.ar/producto/244.png</t>
  </si>
  <si>
    <t>Z244</t>
  </si>
  <si>
    <t>Pileta de patio pack 5 unidades</t>
  </si>
  <si>
    <t>https://img.quodom.com.ar/producto/245.png</t>
  </si>
  <si>
    <t>Z245</t>
  </si>
  <si>
    <t>Termofusora</t>
  </si>
  <si>
    <t>https://img.quodom.com.ar/producto/246.png</t>
  </si>
  <si>
    <t>Z246</t>
  </si>
  <si>
    <t>VOLTAJE</t>
  </si>
  <si>
    <t>Tijera corta caño PVC - Fusión</t>
  </si>
  <si>
    <t>https://img.quodom.com.ar/producto/247.png</t>
  </si>
  <si>
    <t>Z247</t>
  </si>
  <si>
    <t>Adhesivo para PVC</t>
  </si>
  <si>
    <t>https://img.quodom.com.ar/producto/248.png</t>
  </si>
  <si>
    <t>Z248</t>
  </si>
  <si>
    <t>Teflón</t>
  </si>
  <si>
    <t>https://img.quodom.com.ar/producto/249.png</t>
  </si>
  <si>
    <t>Z249</t>
  </si>
  <si>
    <t>Pantalón de trabajo Hombre</t>
  </si>
  <si>
    <t>https://img.quodom.com.ar/producto/382.png</t>
  </si>
  <si>
    <t>Z382</t>
  </si>
  <si>
    <t>Pantalón de trabajo Dama</t>
  </si>
  <si>
    <t>https://img.quodom.com.ar/producto/383.png</t>
  </si>
  <si>
    <t>Z383</t>
  </si>
  <si>
    <t>Pantalón tipo cargo</t>
  </si>
  <si>
    <t>https://img.quodom.com.ar/producto/384.png</t>
  </si>
  <si>
    <t>Z384</t>
  </si>
  <si>
    <t>Bombacha de campo</t>
  </si>
  <si>
    <t>https://img.quodom.com.ar/producto/385.png</t>
  </si>
  <si>
    <t>Z385</t>
  </si>
  <si>
    <t>Bombacha de campo Dama</t>
  </si>
  <si>
    <t>https://img.quodom.com.ar/producto/388.png</t>
  </si>
  <si>
    <t>Z388</t>
  </si>
  <si>
    <t>Traje de lluvia</t>
  </si>
  <si>
    <t>https://img.quodom.com.ar/producto/391.png</t>
  </si>
  <si>
    <t>Z391</t>
  </si>
  <si>
    <t>Capa de agua</t>
  </si>
  <si>
    <t>https://img.quodom.com.ar/producto/392.png</t>
  </si>
  <si>
    <t>Z392</t>
  </si>
  <si>
    <t>Bermuda cargo</t>
  </si>
  <si>
    <t>https://img.quodom.com.ar/producto/393.png</t>
  </si>
  <si>
    <t>Z393</t>
  </si>
  <si>
    <t>Camisa de trabajo</t>
  </si>
  <si>
    <t>https://img.quodom.com.ar/producto/394.png</t>
  </si>
  <si>
    <t>Z394</t>
  </si>
  <si>
    <t>Chaleco Reflectivo</t>
  </si>
  <si>
    <t>https://img.quodom.com.ar/producto/401.png</t>
  </si>
  <si>
    <t>Z401</t>
  </si>
  <si>
    <t>Mameluco</t>
  </si>
  <si>
    <t>https://img.quodom.com.ar/producto/402.png</t>
  </si>
  <si>
    <t>Z402</t>
  </si>
  <si>
    <t>Ambo Cirujía</t>
  </si>
  <si>
    <t>https://img.quodom.com.ar/producto/403.png</t>
  </si>
  <si>
    <t>Z403</t>
  </si>
  <si>
    <t>Delantal PVC Blanco</t>
  </si>
  <si>
    <t>https://img.quodom.com.ar/producto/404.png</t>
  </si>
  <si>
    <t>Z404</t>
  </si>
  <si>
    <t>Overol de protección (Tyvek) Blanco</t>
  </si>
  <si>
    <t>https://img.quodom.com.ar/producto/405.png</t>
  </si>
  <si>
    <t>Z405</t>
  </si>
  <si>
    <t>Guardapolvo</t>
  </si>
  <si>
    <t>https://img.quodom.com.ar/producto/406.png</t>
  </si>
  <si>
    <t>Z406</t>
  </si>
  <si>
    <t>Bota de lluvia</t>
  </si>
  <si>
    <t>https://img.quodom.com.ar/producto/407.png</t>
  </si>
  <si>
    <t>Z407</t>
  </si>
  <si>
    <t>Bota de lluvia de seguridad</t>
  </si>
  <si>
    <t>https://img.quodom.com.ar/producto/408.png</t>
  </si>
  <si>
    <t>Z408</t>
  </si>
  <si>
    <t>Botín de seguridad</t>
  </si>
  <si>
    <t>https://img.quodom.com.ar/producto/409.png</t>
  </si>
  <si>
    <t>Z409</t>
  </si>
  <si>
    <t>Zapatilla de seguridad</t>
  </si>
  <si>
    <t>https://img.quodom.com.ar/producto/411.png</t>
  </si>
  <si>
    <t>Z411</t>
  </si>
  <si>
    <t>Tapón endoaural por 25 unidades</t>
  </si>
  <si>
    <t>https://img.quodom.com.ar/producto/412.png</t>
  </si>
  <si>
    <t>Z412</t>
  </si>
  <si>
    <t>Protector auditivo externo</t>
  </si>
  <si>
    <t>https://img.quodom.com.ar/producto/414.png</t>
  </si>
  <si>
    <t>Z414</t>
  </si>
  <si>
    <t>Protector auditivo para casco</t>
  </si>
  <si>
    <t>https://img.quodom.com.ar/producto/415.png</t>
  </si>
  <si>
    <t>Z415</t>
  </si>
  <si>
    <t>Lentes de seguridad por 12 unidades</t>
  </si>
  <si>
    <t>https://img.quodom.com.ar/producto/416.png</t>
  </si>
  <si>
    <t>Z416</t>
  </si>
  <si>
    <t>Antiparras</t>
  </si>
  <si>
    <t>https://img.quodom.com.ar/producto/418.png</t>
  </si>
  <si>
    <t>Z418</t>
  </si>
  <si>
    <t>Casco con arnes a cremallera por 5 unidades</t>
  </si>
  <si>
    <t>Casco con arnes a cremallera</t>
  </si>
  <si>
    <t>https://img.quodom.com.ar/producto/421.png</t>
  </si>
  <si>
    <t>Z421</t>
  </si>
  <si>
    <t>Protector facial Burbuja Transp por 5 unidades</t>
  </si>
  <si>
    <t>Protector facial Burbuja Transp</t>
  </si>
  <si>
    <t>https://img.quodom.com.ar/producto/422.png</t>
  </si>
  <si>
    <t>Z422</t>
  </si>
  <si>
    <t>Máscara para soldar</t>
  </si>
  <si>
    <t>https://img.quodom.com.ar/producto/423.png</t>
  </si>
  <si>
    <t>Z423</t>
  </si>
  <si>
    <t>Linterna para casco</t>
  </si>
  <si>
    <t>https://img.quodom.com.ar/producto/426.png</t>
  </si>
  <si>
    <t>Z426</t>
  </si>
  <si>
    <t>Mascarilla desechable por 50 unidades</t>
  </si>
  <si>
    <t>Mascarilla desechable</t>
  </si>
  <si>
    <t>https://img.quodom.com.ar/producto/428.png</t>
  </si>
  <si>
    <t>Z428</t>
  </si>
  <si>
    <t>Mascarilla KN95 por 10 unidades</t>
  </si>
  <si>
    <t>https://img.quodom.com.ar/producto/430.png</t>
  </si>
  <si>
    <t>Z430</t>
  </si>
  <si>
    <t>Mascarilla N95 por 10 unidades</t>
  </si>
  <si>
    <t>https://img.quodom.com.ar/producto/431.png</t>
  </si>
  <si>
    <t>Z431</t>
  </si>
  <si>
    <t>Mascarilla N95 con válvula por 10 unidades</t>
  </si>
  <si>
    <t>https://img.quodom.com.ar/producto/432.png</t>
  </si>
  <si>
    <t>Z432</t>
  </si>
  <si>
    <t>Respirador cara completa</t>
  </si>
  <si>
    <t>https://img.quodom.com.ar/producto/433.png</t>
  </si>
  <si>
    <t>Z433</t>
  </si>
  <si>
    <t>Respirador media cara</t>
  </si>
  <si>
    <t>https://img.quodom.com.ar/producto/434.png</t>
  </si>
  <si>
    <t>Z434</t>
  </si>
  <si>
    <t>Prefiltros para respirador por 10 unidades</t>
  </si>
  <si>
    <t>Prefiltros para respirador</t>
  </si>
  <si>
    <t>https://img.quodom.com.ar/producto/436.png</t>
  </si>
  <si>
    <t>Z436</t>
  </si>
  <si>
    <t>Cartuchos para respirador</t>
  </si>
  <si>
    <t>https://img.quodom.com.ar/producto/438.png</t>
  </si>
  <si>
    <t>Z438</t>
  </si>
  <si>
    <t>Prefiltros para respirador media cara</t>
  </si>
  <si>
    <t>https://img.quodom.com.ar/producto/439.png</t>
  </si>
  <si>
    <t>Z439</t>
  </si>
  <si>
    <t>Guantes moteados por 5 pares</t>
  </si>
  <si>
    <t>https://img.quodom.com.ar/producto/441.png</t>
  </si>
  <si>
    <t>Z441</t>
  </si>
  <si>
    <t>Guantes Vaqueta</t>
  </si>
  <si>
    <t>https://img.quodom.com.ar/producto/442.png</t>
  </si>
  <si>
    <t>Z442</t>
  </si>
  <si>
    <t>Guantes nitrilo revestido por 12 unidades</t>
  </si>
  <si>
    <t>https://img.quodom.com.ar/producto/443.png</t>
  </si>
  <si>
    <t>Z443</t>
  </si>
  <si>
    <t>Guantes de nitrilo descartables por 100 unidades</t>
  </si>
  <si>
    <t>https://img.quodom.com.ar/producto/444.png</t>
  </si>
  <si>
    <t>Z444</t>
  </si>
  <si>
    <t>Guantes de latex por 100 unidades</t>
  </si>
  <si>
    <t>https://img.quodom.com.ar/producto/445.png</t>
  </si>
  <si>
    <t>Z445</t>
  </si>
  <si>
    <t>Guantes para alta temperatura</t>
  </si>
  <si>
    <t>https://img.quodom.com.ar/producto/446.png</t>
  </si>
  <si>
    <t>Z446</t>
  </si>
  <si>
    <t>Guantes full metal</t>
  </si>
  <si>
    <t>https://img.quodom.com.ar/producto/447.png</t>
  </si>
  <si>
    <t>Z447</t>
  </si>
  <si>
    <t>Guantes para soldador</t>
  </si>
  <si>
    <t>https://img.quodom.com.ar/producto/448.png</t>
  </si>
  <si>
    <t>Z448</t>
  </si>
  <si>
    <t>Guantes PVC</t>
  </si>
  <si>
    <t>https://img.quodom.com.ar/producto/449.png</t>
  </si>
  <si>
    <t>Z449</t>
  </si>
  <si>
    <t>Candado por 5 unidades</t>
  </si>
  <si>
    <t>https://img.quodom.com.ar/producto/450.png</t>
  </si>
  <si>
    <t>Z450</t>
  </si>
  <si>
    <t>Bandeja con tapa por 10 unidades</t>
  </si>
  <si>
    <t>https://img.quodom.com.ar/producto/451.png</t>
  </si>
  <si>
    <t>Z451</t>
  </si>
  <si>
    <t>Bandeja por 10 unidades</t>
  </si>
  <si>
    <t>https://img.quodom.com.ar/producto/452.png</t>
  </si>
  <si>
    <t>Z452</t>
  </si>
  <si>
    <t>Tapa por 10 unidades</t>
  </si>
  <si>
    <t>https://img.quodom.com.ar/producto/453.png</t>
  </si>
  <si>
    <t>Z453</t>
  </si>
  <si>
    <t>Tartera por 10 unidades</t>
  </si>
  <si>
    <t>https://img.quodom.com.ar/producto/454.png</t>
  </si>
  <si>
    <t>Z454</t>
  </si>
  <si>
    <t>Plato por 10 unidades</t>
  </si>
  <si>
    <t>https://img.quodom.com.ar/producto/455.png</t>
  </si>
  <si>
    <t>Z455</t>
  </si>
  <si>
    <t>Budinera por 10 unidades</t>
  </si>
  <si>
    <t>https://img.quodom.com.ar/producto/456.png</t>
  </si>
  <si>
    <t>Z456</t>
  </si>
  <si>
    <t>Flanera por 10 unidades</t>
  </si>
  <si>
    <t>https://img.quodom.com.ar/producto/457.png</t>
  </si>
  <si>
    <t>Z457</t>
  </si>
  <si>
    <t>Tapa para flanera 230 cc por 10 unidades</t>
  </si>
  <si>
    <t>https://img.quodom.com.ar/producto/458.png</t>
  </si>
  <si>
    <t>Z458</t>
  </si>
  <si>
    <t>Molde pan dulce 1 kilo por 10 unidades</t>
  </si>
  <si>
    <t>https://img.quodom.com.ar/producto/459.png</t>
  </si>
  <si>
    <t>Z459</t>
  </si>
  <si>
    <t>Rollo de aluminio por kilo</t>
  </si>
  <si>
    <t>https://img.quodom.com.ar/producto/460.png</t>
  </si>
  <si>
    <t>Z460</t>
  </si>
  <si>
    <t>CALIDAD</t>
  </si>
  <si>
    <t>Bandeja satinada por 10 unidades</t>
  </si>
  <si>
    <t>https://img.quodom.com.ar/producto/461.png</t>
  </si>
  <si>
    <t>Z461</t>
  </si>
  <si>
    <t>Bandeja gris por 10 unidades</t>
  </si>
  <si>
    <t>https://img.quodom.com.ar/producto/462.png</t>
  </si>
  <si>
    <t>Z462</t>
  </si>
  <si>
    <t>Bandeja redonda 25 cm por 10 unidades</t>
  </si>
  <si>
    <t>https://img.quodom.com.ar/producto/463.png</t>
  </si>
  <si>
    <t>Z463</t>
  </si>
  <si>
    <t>Discos gris por 10 unidades</t>
  </si>
  <si>
    <t>https://img.quodom.com.ar/producto/464.png</t>
  </si>
  <si>
    <t>Z464</t>
  </si>
  <si>
    <t>Bandeja cartón dorado por 10 unidades</t>
  </si>
  <si>
    <t>https://img.quodom.com.ar/producto/465.png</t>
  </si>
  <si>
    <t>Z465</t>
  </si>
  <si>
    <t>Plato de cartón dorado por 10 unidades</t>
  </si>
  <si>
    <t>https://img.quodom.com.ar/producto/466.png</t>
  </si>
  <si>
    <t>Z466</t>
  </si>
  <si>
    <t>Discos cartón dorado por 10 unidades</t>
  </si>
  <si>
    <t>https://img.quodom.com.ar/producto/467.png</t>
  </si>
  <si>
    <t>Z467</t>
  </si>
  <si>
    <t>Cono papas fritas por 50 unidades</t>
  </si>
  <si>
    <t>https://img.quodom.com.ar/producto/468.png</t>
  </si>
  <si>
    <t>Z468</t>
  </si>
  <si>
    <t>Estuche papas fritas por 50 unidades</t>
  </si>
  <si>
    <t>https://img.quodom.com.ar/producto/469.png</t>
  </si>
  <si>
    <t>Z469</t>
  </si>
  <si>
    <t>Portapanchos por 50 unidades</t>
  </si>
  <si>
    <t>https://img.quodom.com.ar/producto/470.png</t>
  </si>
  <si>
    <t>Z470</t>
  </si>
  <si>
    <t>Portavaso doble por 50 unidades</t>
  </si>
  <si>
    <t>https://img.quodom.com.ar/producto/471.png</t>
  </si>
  <si>
    <t>Z471</t>
  </si>
  <si>
    <t>Molde bizcochuelo para horno por 50 uni.</t>
  </si>
  <si>
    <t>https://img.quodom.com.ar/producto/472.png</t>
  </si>
  <si>
    <t>Z472</t>
  </si>
  <si>
    <t>Palitos de brochette por 500 unidades</t>
  </si>
  <si>
    <t>https://img.quodom.com.ar/producto/473.png</t>
  </si>
  <si>
    <t>Z473</t>
  </si>
  <si>
    <t>Tortera por 10 unidades</t>
  </si>
  <si>
    <t>https://img.quodom.com.ar/producto/474.png</t>
  </si>
  <si>
    <t>Z474</t>
  </si>
  <si>
    <t>Bandeja 5 divisiones por 10 unidades</t>
  </si>
  <si>
    <t>https://img.quodom.com.ar/producto/475.png</t>
  </si>
  <si>
    <t>Z475</t>
  </si>
  <si>
    <t>Bandeja expandido por 10 unidades</t>
  </si>
  <si>
    <t>https://img.quodom.com.ar/producto/476.png</t>
  </si>
  <si>
    <t>Z476</t>
  </si>
  <si>
    <t>Marmita expandido con tapa por 10 unidades</t>
  </si>
  <si>
    <t>https://img.quodom.com.ar/producto/477.png</t>
  </si>
  <si>
    <t>Z477</t>
  </si>
  <si>
    <t>Bandeja black sushi con tapa por 10 unidades</t>
  </si>
  <si>
    <t>https://img.quodom.com.ar/producto/478.png</t>
  </si>
  <si>
    <t>Z478</t>
  </si>
  <si>
    <t>Bandeja black sushi con tapa con división por 10 unidades</t>
  </si>
  <si>
    <t>https://img.quodom.com.ar/producto/479.png</t>
  </si>
  <si>
    <t>Z479</t>
  </si>
  <si>
    <t>Bandeja polipropileno transp. por 10 unidades</t>
  </si>
  <si>
    <t>https://img.quodom.com.ar/producto/480.png</t>
  </si>
  <si>
    <t>Z480</t>
  </si>
  <si>
    <t>Tapa Bandeja polipropileno por 10 unidades</t>
  </si>
  <si>
    <t>https://img.quodom.com.ar/producto/481.png</t>
  </si>
  <si>
    <t>Z481</t>
  </si>
  <si>
    <t>Bandeja ovalada polipropi. por 10 unidades</t>
  </si>
  <si>
    <t>https://img.quodom.com.ar/producto/482.png</t>
  </si>
  <si>
    <t>Z482</t>
  </si>
  <si>
    <t>Tapa ovalada polipropileno por 10 unidades</t>
  </si>
  <si>
    <t>https://img.quodom.com.ar/producto/483.png</t>
  </si>
  <si>
    <t>Z483</t>
  </si>
  <si>
    <t>Ensaladera cristal con tapa por 10 unidades</t>
  </si>
  <si>
    <t>https://img.quodom.com.ar/producto/484.png</t>
  </si>
  <si>
    <t>Z484</t>
  </si>
  <si>
    <t>Estuche cristal por 10 unidades</t>
  </si>
  <si>
    <t>https://img.quodom.com.ar/producto/485.png</t>
  </si>
  <si>
    <t>Z485</t>
  </si>
  <si>
    <t>Agitadores plásticos por 1000 unidades</t>
  </si>
  <si>
    <t>https://img.quodom.com.ar/producto/486.png</t>
  </si>
  <si>
    <t>Z486</t>
  </si>
  <si>
    <t>Agitadores madera por 1000 unidades</t>
  </si>
  <si>
    <t>https://img.quodom.com.ar/producto/487.png</t>
  </si>
  <si>
    <t>Z487</t>
  </si>
  <si>
    <t>Cuchara de helado por kg</t>
  </si>
  <si>
    <t>https://img.quodom.com.ar/producto/488.png</t>
  </si>
  <si>
    <t>Z488</t>
  </si>
  <si>
    <t>Cuchara sundae por 100 unidades</t>
  </si>
  <si>
    <t>https://img.quodom.com.ar/producto/489.png</t>
  </si>
  <si>
    <t>Z489</t>
  </si>
  <si>
    <t>Cuchillo plástico por 100 unidades</t>
  </si>
  <si>
    <t>https://img.quodom.com.ar/producto/490.png</t>
  </si>
  <si>
    <t>Z490</t>
  </si>
  <si>
    <t>https://img.quodom.com.ar/producto/491.png</t>
  </si>
  <si>
    <t>Z491</t>
  </si>
  <si>
    <t>Tenedor plástico por 100 unidades</t>
  </si>
  <si>
    <t>https://img.quodom.com.ar/producto/492.png</t>
  </si>
  <si>
    <t>Z492</t>
  </si>
  <si>
    <t>Plato descartable por 100 unidades</t>
  </si>
  <si>
    <t>https://img.quodom.com.ar/producto/493.png</t>
  </si>
  <si>
    <t>Z493</t>
  </si>
  <si>
    <t>Pote para helado por 20 unidades</t>
  </si>
  <si>
    <t>https://img.quodom.com.ar/producto/494.png</t>
  </si>
  <si>
    <t>Z494</t>
  </si>
  <si>
    <t>CAPACIDAD</t>
  </si>
  <si>
    <t>Separador folex por kg</t>
  </si>
  <si>
    <t>https://img.quodom.com.ar/producto/495.png</t>
  </si>
  <si>
    <t>Z495</t>
  </si>
  <si>
    <t>Separador hamburguesa por kg</t>
  </si>
  <si>
    <t>https://img.quodom.com.ar/producto/496.png</t>
  </si>
  <si>
    <t>Z496</t>
  </si>
  <si>
    <t>Film gastronómico</t>
  </si>
  <si>
    <t>https://img.quodom.com.ar/producto/497.png</t>
  </si>
  <si>
    <t>Z497</t>
  </si>
  <si>
    <t>Pañuelo descartable caja 150 unidades</t>
  </si>
  <si>
    <t>https://img.quodom.com.ar/producto/498.png</t>
  </si>
  <si>
    <t>Z498</t>
  </si>
  <si>
    <t>Papel higiénico simple hoja</t>
  </si>
  <si>
    <t>https://img.quodom.com.ar/producto/499.png</t>
  </si>
  <si>
    <t>Z499</t>
  </si>
  <si>
    <t>Papel higiénico doble hoja</t>
  </si>
  <si>
    <t>https://img.quodom.com.ar/producto/500.png</t>
  </si>
  <si>
    <t>Z500</t>
  </si>
  <si>
    <t>Papel higiénico triple hoja 30 mts por 24 unidades</t>
  </si>
  <si>
    <t>https://img.quodom.com.ar/producto/501.png</t>
  </si>
  <si>
    <t>Z501</t>
  </si>
  <si>
    <t>Toalla intercalada por 2000 unidades</t>
  </si>
  <si>
    <t>https://img.quodom.com.ar/producto/502.png</t>
  </si>
  <si>
    <t>Z502</t>
  </si>
  <si>
    <t>Bolsas kraft por 50 unidades</t>
  </si>
  <si>
    <t>https://img.quodom.com.ar/producto/503.png</t>
  </si>
  <si>
    <t>Z503</t>
  </si>
  <si>
    <t>Bolsa Acuario por 50 unidades</t>
  </si>
  <si>
    <t>https://img.quodom.com.ar/producto/504.png</t>
  </si>
  <si>
    <t>Z504</t>
  </si>
  <si>
    <t>Caja de cartón por 25 unidades</t>
  </si>
  <si>
    <t>https://img.quodom.com.ar/producto/505.png</t>
  </si>
  <si>
    <t>Z505</t>
  </si>
  <si>
    <t>Caja para masas por 10 unidades</t>
  </si>
  <si>
    <t>https://img.quodom.com.ar/producto/506.png</t>
  </si>
  <si>
    <t>Z506</t>
  </si>
  <si>
    <t>Caja para pizzas por 10 unidades</t>
  </si>
  <si>
    <t>https://img.quodom.com.ar/producto/507.png</t>
  </si>
  <si>
    <t>Z507</t>
  </si>
  <si>
    <t>Caja para empanadas por 10 unidades</t>
  </si>
  <si>
    <t>https://img.quodom.com.ar/producto/508.png</t>
  </si>
  <si>
    <t>Z508</t>
  </si>
  <si>
    <t>Caja para torta por 10 unidades</t>
  </si>
  <si>
    <t>https://img.quodom.com.ar/producto/509.png</t>
  </si>
  <si>
    <t>Z509</t>
  </si>
  <si>
    <t>Caja torta ORO por 10 unidades 27x27x10 cm</t>
  </si>
  <si>
    <t>https://img.quodom.com.ar/producto/510.png</t>
  </si>
  <si>
    <t>Z510</t>
  </si>
  <si>
    <t>Cartón corrugado 25 metros</t>
  </si>
  <si>
    <t>https://img.quodom.com.ar/producto/511.png</t>
  </si>
  <si>
    <t>Z511</t>
  </si>
  <si>
    <t>Film stretch virgen transparente</t>
  </si>
  <si>
    <t>https://img.quodom.com.ar/producto/512.png</t>
  </si>
  <si>
    <t>Z512</t>
  </si>
  <si>
    <t>Film stretch virgen negro</t>
  </si>
  <si>
    <t>https://img.quodom.com.ar/producto/513.png</t>
  </si>
  <si>
    <t>Z513</t>
  </si>
  <si>
    <t>Film stretch virgen con mango 50 cm por 1000 mts</t>
  </si>
  <si>
    <t>https://img.quodom.com.ar/producto/514.png</t>
  </si>
  <si>
    <t>Z514</t>
  </si>
  <si>
    <t>Fleje plástico por kg</t>
  </si>
  <si>
    <t>https://img.quodom.com.ar/producto/515.png</t>
  </si>
  <si>
    <t>Z515</t>
  </si>
  <si>
    <t>Grampa para fleje plástico por kg</t>
  </si>
  <si>
    <t>https://img.quodom.com.ar/producto/516.png</t>
  </si>
  <si>
    <t>Z516</t>
  </si>
  <si>
    <t>Hebilla para fleje por kg</t>
  </si>
  <si>
    <t>https://img.quodom.com.ar/producto/517.png</t>
  </si>
  <si>
    <t>Z517</t>
  </si>
  <si>
    <t>Dispenser para bobina</t>
  </si>
  <si>
    <t>https://img.quodom.com.ar/producto/518.png</t>
  </si>
  <si>
    <t>Z518</t>
  </si>
  <si>
    <t>Hilo de algodón por rollo</t>
  </si>
  <si>
    <t>https://img.quodom.com.ar/producto/519.png</t>
  </si>
  <si>
    <t>Z519</t>
  </si>
  <si>
    <t>Hilo choricero por rollo</t>
  </si>
  <si>
    <t>https://img.quodom.com.ar/producto/520.png</t>
  </si>
  <si>
    <t>Z520</t>
  </si>
  <si>
    <t>Hilo cinta por kg</t>
  </si>
  <si>
    <t>https://img.quodom.com.ar/producto/521.png</t>
  </si>
  <si>
    <t>Z521</t>
  </si>
  <si>
    <t>Papel sulfito resma por kilo</t>
  </si>
  <si>
    <t>https://img.quodom.com.ar/producto/522.png</t>
  </si>
  <si>
    <t>Z522</t>
  </si>
  <si>
    <t>Papel sulfito bobina</t>
  </si>
  <si>
    <t>https://img.quodom.com.ar/producto/523.png</t>
  </si>
  <si>
    <t>Z523</t>
  </si>
  <si>
    <t>Pluribol cristal - Burbujas</t>
  </si>
  <si>
    <t>https://img.quodom.com.ar/producto/524.png</t>
  </si>
  <si>
    <t>Z524</t>
  </si>
  <si>
    <t>Cinta transparente 48 mm por 100 mts por 10 unidades</t>
  </si>
  <si>
    <t>https://img.quodom.com.ar/producto/525.png</t>
  </si>
  <si>
    <t>Z525</t>
  </si>
  <si>
    <t>Cinta transparente 24 mm por 50 mts por 10 unidades</t>
  </si>
  <si>
    <t>https://img.quodom.com.ar/producto/526.png</t>
  </si>
  <si>
    <t>Z526</t>
  </si>
  <si>
    <t>Cinta transparente 12 mm 10 unidades</t>
  </si>
  <si>
    <t>https://img.quodom.com.ar/producto/527.png</t>
  </si>
  <si>
    <t>Z527</t>
  </si>
  <si>
    <t>Cinta marrón 48 mm por 100 mts por 10 unidades</t>
  </si>
  <si>
    <t>https://img.quodom.com.ar/producto/528.png</t>
  </si>
  <si>
    <t>Z528</t>
  </si>
  <si>
    <t>Cinta silver 48 mm por 9 mts por 10 unidades</t>
  </si>
  <si>
    <t>https://img.quodom.com.ar/producto/529.png</t>
  </si>
  <si>
    <t>Z529</t>
  </si>
  <si>
    <t>Cinta de papel por 30 mts por 10 unidades</t>
  </si>
  <si>
    <t>https://img.quodom.com.ar/producto/530.png</t>
  </si>
  <si>
    <t>Z530</t>
  </si>
  <si>
    <t>Cinta de papel doble faz por 30 mts por 10 unidades</t>
  </si>
  <si>
    <t>https://img.quodom.com.ar/producto/531.png</t>
  </si>
  <si>
    <t>Z531</t>
  </si>
  <si>
    <t>Cinta Frágil 48 mm por 50 mts por 10 unidades</t>
  </si>
  <si>
    <t>https://img.quodom.com.ar/producto/532.png</t>
  </si>
  <si>
    <t>Z532</t>
  </si>
  <si>
    <t>Racionador de cinta 48 mm</t>
  </si>
  <si>
    <t>https://img.quodom.com.ar/producto/533.png</t>
  </si>
  <si>
    <t>Z533</t>
  </si>
  <si>
    <t>Porta cinta</t>
  </si>
  <si>
    <t>https://img.quodom.com.ar/producto/534.png</t>
  </si>
  <si>
    <t>Z534</t>
  </si>
  <si>
    <t>Bolsa de consorcio por 50 unidades</t>
  </si>
  <si>
    <t>https://img.quodom.com.ar/producto/535.png</t>
  </si>
  <si>
    <t>Z535</t>
  </si>
  <si>
    <t>Bolsa para escombros 45 x 70 cm por 50 unidades</t>
  </si>
  <si>
    <t>https://img.quodom.com.ar/producto/536.png</t>
  </si>
  <si>
    <t>Z536</t>
  </si>
  <si>
    <t>Bolsa riñón por 50 unidades</t>
  </si>
  <si>
    <t>https://img.quodom.com.ar/producto/537.png</t>
  </si>
  <si>
    <t>Z537</t>
  </si>
  <si>
    <t>Bolsa camiseta común por 100 unidades</t>
  </si>
  <si>
    <t>https://img.quodom.com.ar/producto/538.png</t>
  </si>
  <si>
    <t>Z538</t>
  </si>
  <si>
    <t>Bolsa camiseta reforzada por 100 uni.</t>
  </si>
  <si>
    <t>https://img.quodom.com.ar/producto/539.png</t>
  </si>
  <si>
    <t>Z539</t>
  </si>
  <si>
    <t>Bolsa Zipper por 100 unidades</t>
  </si>
  <si>
    <t>https://img.quodom.com.ar/producto/540.png</t>
  </si>
  <si>
    <t>Z540</t>
  </si>
  <si>
    <t>Rollo de arranque por 12 bobinas</t>
  </si>
  <si>
    <t>https://img.quodom.com.ar/producto/541.png</t>
  </si>
  <si>
    <t>Z541</t>
  </si>
  <si>
    <t>DENSIDAD</t>
  </si>
  <si>
    <t>Bolsa con adhesivo por 200 unidades</t>
  </si>
  <si>
    <t>https://img.quodom.com.ar/producto/542.png</t>
  </si>
  <si>
    <t>Z542</t>
  </si>
  <si>
    <t>Resma de papel por 5 unidades</t>
  </si>
  <si>
    <t>https://img.quodom.com.ar/producto/543.png</t>
  </si>
  <si>
    <t>Z543</t>
  </si>
  <si>
    <t>https://img.quodom.com.ar/producto/544.png</t>
  </si>
  <si>
    <t>Z544</t>
  </si>
  <si>
    <t>https://img.quodom.com.ar/producto/545.png</t>
  </si>
  <si>
    <t>Z545</t>
  </si>
  <si>
    <t>Guantes polietileno por 100 unidades</t>
  </si>
  <si>
    <t>https://img.quodom.com.ar/producto/546.png</t>
  </si>
  <si>
    <t>Z546</t>
  </si>
  <si>
    <t>Guantes de vinilo por 100 unidades</t>
  </si>
  <si>
    <t>https://img.quodom.com.ar/producto/547.png</t>
  </si>
  <si>
    <t>Z547</t>
  </si>
  <si>
    <t>Barbijos descartables por 100 unidades</t>
  </si>
  <si>
    <t>https://img.quodom.com.ar/producto/548.png</t>
  </si>
  <si>
    <t>Z548</t>
  </si>
  <si>
    <t>Papel Higiénico de 30 mts por 24 unidades</t>
  </si>
  <si>
    <t>https://img.quodom.com.ar/producto/549.png</t>
  </si>
  <si>
    <t>Z549</t>
  </si>
  <si>
    <t>Papel Higiénico simple hoja de 50 mts por 24 unidades</t>
  </si>
  <si>
    <t>https://img.quodom.com.ar/producto/550.png</t>
  </si>
  <si>
    <t>Z550</t>
  </si>
  <si>
    <t>Papel Higiénico simple hoja de 60 mts por 24 unidades</t>
  </si>
  <si>
    <t>https://img.quodom.com.ar/producto/551.png</t>
  </si>
  <si>
    <t>Z551</t>
  </si>
  <si>
    <t>Papel Higiénico simple hoja de 80 mts por 24 unidades</t>
  </si>
  <si>
    <t>https://img.quodom.com.ar/producto/552.png</t>
  </si>
  <si>
    <t>Z552</t>
  </si>
  <si>
    <t>Papel Higiénico simple hoja de 100 mts por 12 unidades</t>
  </si>
  <si>
    <t>https://img.quodom.com.ar/producto/553.png</t>
  </si>
  <si>
    <t>Z553</t>
  </si>
  <si>
    <t>Papel Higiénico 300 mts pack 8 unidades</t>
  </si>
  <si>
    <t>https://img.quodom.com.ar/producto/554.png</t>
  </si>
  <si>
    <t>Z554</t>
  </si>
  <si>
    <t>Toalla de mano 300 mts pack 2 unidades</t>
  </si>
  <si>
    <t>https://img.quodom.com.ar/producto/555.png</t>
  </si>
  <si>
    <t>Z555</t>
  </si>
  <si>
    <t>Toalla de mano 400 mts pack 2 unidades</t>
  </si>
  <si>
    <t>https://img.quodom.com.ar/producto/556.png</t>
  </si>
  <si>
    <t>Z556</t>
  </si>
  <si>
    <t>Rollo de cocina 50 paños pack 24 unidades</t>
  </si>
  <si>
    <t>https://img.quodom.com.ar/producto/557.png</t>
  </si>
  <si>
    <t>Z557</t>
  </si>
  <si>
    <t>Rollo de cocina 100 paños pack 15 unidades</t>
  </si>
  <si>
    <t>https://img.quodom.com.ar/producto/558.png</t>
  </si>
  <si>
    <t>Z558</t>
  </si>
  <si>
    <t>Toalla intercalada Canela pack 2500 unidades</t>
  </si>
  <si>
    <t>https://img.quodom.com.ar/producto/559.png</t>
  </si>
  <si>
    <t>Z559</t>
  </si>
  <si>
    <t>Toalla intercalada Blanca pack 2500 unidades</t>
  </si>
  <si>
    <t>https://img.quodom.com.ar/producto/560.png</t>
  </si>
  <si>
    <t>Z560</t>
  </si>
  <si>
    <t>Coca Cola original lata</t>
  </si>
  <si>
    <t>https://img.quodom.com.ar/producto/561.png</t>
  </si>
  <si>
    <t>Z561</t>
  </si>
  <si>
    <t>FORMATO</t>
  </si>
  <si>
    <t>Coca Cola original botella</t>
  </si>
  <si>
    <t>https://img.quodom.com.ar/producto/562.png</t>
  </si>
  <si>
    <t>Z562</t>
  </si>
  <si>
    <t>Coca Cola Sin azúcar lata</t>
  </si>
  <si>
    <t>https://img.quodom.com.ar/producto/563.png</t>
  </si>
  <si>
    <t>Z563</t>
  </si>
  <si>
    <t>Coca Cola Sin azúcar botella</t>
  </si>
  <si>
    <t>https://img.quodom.com.ar/producto/564.png</t>
  </si>
  <si>
    <t>Z564</t>
  </si>
  <si>
    <t>Coca Cola Zero lata</t>
  </si>
  <si>
    <t>https://img.quodom.com.ar/producto/565.png</t>
  </si>
  <si>
    <t>Z565</t>
  </si>
  <si>
    <t>Coca Cola Zero botella</t>
  </si>
  <si>
    <t>https://img.quodom.com.ar/producto/566.png</t>
  </si>
  <si>
    <t>Z566</t>
  </si>
  <si>
    <t>Coca Cola Light lata</t>
  </si>
  <si>
    <t>https://img.quodom.com.ar/producto/567.png</t>
  </si>
  <si>
    <t>Z567</t>
  </si>
  <si>
    <t>Coca Cola Light botella</t>
  </si>
  <si>
    <t>https://img.quodom.com.ar/producto/568.png</t>
  </si>
  <si>
    <t>Z568</t>
  </si>
  <si>
    <t>Sprite original lata</t>
  </si>
  <si>
    <t>https://img.quodom.com.ar/producto/569.png</t>
  </si>
  <si>
    <t>Z569</t>
  </si>
  <si>
    <t>Sprite original botella</t>
  </si>
  <si>
    <t>https://img.quodom.com.ar/producto/570.png</t>
  </si>
  <si>
    <t>Z570</t>
  </si>
  <si>
    <t>Sprite zero lata</t>
  </si>
  <si>
    <t>https://img.quodom.com.ar/producto/571.png</t>
  </si>
  <si>
    <t>Z571</t>
  </si>
  <si>
    <t>Sprite sin azúcar botella</t>
  </si>
  <si>
    <t>https://img.quodom.com.ar/producto/572.png</t>
  </si>
  <si>
    <t>Z572</t>
  </si>
  <si>
    <t>Fanta lata</t>
  </si>
  <si>
    <t>https://img.quodom.com.ar/producto/573.png</t>
  </si>
  <si>
    <t>Z573</t>
  </si>
  <si>
    <t>Fanta botella</t>
  </si>
  <si>
    <t>https://img.quodom.com.ar/producto/574.png</t>
  </si>
  <si>
    <t>Z574</t>
  </si>
  <si>
    <t>Pepsi lata</t>
  </si>
  <si>
    <t>https://img.quodom.com.ar/producto/575.png</t>
  </si>
  <si>
    <t>Z575</t>
  </si>
  <si>
    <t>Pepsi botella</t>
  </si>
  <si>
    <t>https://img.quodom.com.ar/producto/576.png</t>
  </si>
  <si>
    <t>Z576</t>
  </si>
  <si>
    <t>Pepsi Black lata</t>
  </si>
  <si>
    <t>https://img.quodom.com.ar/producto/577.png</t>
  </si>
  <si>
    <t>Z577</t>
  </si>
  <si>
    <t>Pepsi Black botella</t>
  </si>
  <si>
    <t>https://img.quodom.com.ar/producto/578.png</t>
  </si>
  <si>
    <t>Z578</t>
  </si>
  <si>
    <t>Schweppes Tónica lata</t>
  </si>
  <si>
    <t>https://img.quodom.com.ar/producto/580.png</t>
  </si>
  <si>
    <t>Z580</t>
  </si>
  <si>
    <t>Schweppes Tónica botella</t>
  </si>
  <si>
    <t>https://img.quodom.com.ar/producto/581.png</t>
  </si>
  <si>
    <t>Z581</t>
  </si>
  <si>
    <t>Cunnington</t>
  </si>
  <si>
    <t>https://img.quodom.com.ar/producto/582.png</t>
  </si>
  <si>
    <t>Z582</t>
  </si>
  <si>
    <t>Cerveza Andes Rubia 473 ml pack 24</t>
  </si>
  <si>
    <t>Andes Rubia 473 ml pack 24</t>
  </si>
  <si>
    <t>https://img.quodom.com.ar/producto/583.png</t>
  </si>
  <si>
    <t>Z583</t>
  </si>
  <si>
    <t>Cerveza Andes IPA 473 ml pack 24</t>
  </si>
  <si>
    <t>Andes IPA 473 ml pack 24</t>
  </si>
  <si>
    <t>https://img.quodom.com.ar/producto/584.png</t>
  </si>
  <si>
    <t>Z584</t>
  </si>
  <si>
    <t>Cerveza Andes Roja 473 ml pack 24</t>
  </si>
  <si>
    <t>Andes Roja 473 ml pack 24</t>
  </si>
  <si>
    <t>https://img.quodom.com.ar/producto/585.png</t>
  </si>
  <si>
    <t>Z585</t>
  </si>
  <si>
    <t>Cerveza Andes Negra 473 ml pack 24</t>
  </si>
  <si>
    <t>Andes Negra 473 ml pack 24</t>
  </si>
  <si>
    <t>https://img.quodom.com.ar/producto/586.png</t>
  </si>
  <si>
    <t>Z586</t>
  </si>
  <si>
    <t>Cerveza Brahma</t>
  </si>
  <si>
    <t>Brahma</t>
  </si>
  <si>
    <t>https://img.quodom.com.ar/producto/587.png</t>
  </si>
  <si>
    <t>Z587</t>
  </si>
  <si>
    <t>Cerveza Imperial Golden 473 ml pack 24</t>
  </si>
  <si>
    <t>Imperial Golden 473 ml pack 24</t>
  </si>
  <si>
    <t>https://img.quodom.com.ar/producto/588.png</t>
  </si>
  <si>
    <t>Z588</t>
  </si>
  <si>
    <t>Cerveza Imperial Stout 473 ml pack 24</t>
  </si>
  <si>
    <t>Imperial Stout 473 ml pack 24</t>
  </si>
  <si>
    <t>https://img.quodom.com.ar/producto/589.png</t>
  </si>
  <si>
    <t>Z589</t>
  </si>
  <si>
    <t>Cerveza Imperial Amber 473 ml pack 24</t>
  </si>
  <si>
    <t>Imperial Amber 473 ml pack 24</t>
  </si>
  <si>
    <t>https://img.quodom.com.ar/producto/590.png</t>
  </si>
  <si>
    <t>Z590</t>
  </si>
  <si>
    <t>Cerveza Imperial APA 473 ml pack 24</t>
  </si>
  <si>
    <t>Imperial APA 473 ml pack 24</t>
  </si>
  <si>
    <t>https://img.quodom.com.ar/producto/591.png</t>
  </si>
  <si>
    <t>Z591</t>
  </si>
  <si>
    <t>Cerveza Imperial IPA 473 ml pack 24</t>
  </si>
  <si>
    <t>Imperial IPA 473 ml pack 24</t>
  </si>
  <si>
    <t>https://img.quodom.com.ar/producto/592.png</t>
  </si>
  <si>
    <t>Z592</t>
  </si>
  <si>
    <t>Cerveza Imperial Lager 473 ml pack 24</t>
  </si>
  <si>
    <t>Imperial Lager 473 ml pack 24</t>
  </si>
  <si>
    <t>https://img.quodom.com.ar/producto/593.png</t>
  </si>
  <si>
    <t>Z593</t>
  </si>
  <si>
    <t>Cerveza Isenbeck 473 ml pack 24</t>
  </si>
  <si>
    <t>Isenbeck 473 ml pack 24</t>
  </si>
  <si>
    <t>https://img.quodom.com.ar/producto/594.png</t>
  </si>
  <si>
    <t>Z594</t>
  </si>
  <si>
    <t>Cerveza Schneider 473 ml pack 24</t>
  </si>
  <si>
    <t>Schneider 473 ml pack 24</t>
  </si>
  <si>
    <t>https://img.quodom.com.ar/producto/595.png</t>
  </si>
  <si>
    <t>Z595</t>
  </si>
  <si>
    <t>Cerveza Warsteiner 473 ml pack 24</t>
  </si>
  <si>
    <t>Warsteiner 473 ml pack 24</t>
  </si>
  <si>
    <t>https://img.quodom.com.ar/producto/596.png</t>
  </si>
  <si>
    <t>Z596</t>
  </si>
  <si>
    <t>Cerveza Corona porrón 330 ml pack 24</t>
  </si>
  <si>
    <t>Corona porrón 330 ml pack 24</t>
  </si>
  <si>
    <t>https://img.quodom.com.ar/producto/597.png</t>
  </si>
  <si>
    <t>Z597</t>
  </si>
  <si>
    <t>Cerveza Heineken 473 ml pack 24</t>
  </si>
  <si>
    <t>Heineken 473 ml pack 24</t>
  </si>
  <si>
    <t>https://img.quodom.com.ar/producto/598.png</t>
  </si>
  <si>
    <t>Z598</t>
  </si>
  <si>
    <t>Cerveza Patagonia</t>
  </si>
  <si>
    <t>Patagonia</t>
  </si>
  <si>
    <t>https://img.quodom.com.ar/producto/599.png</t>
  </si>
  <si>
    <t>Z599</t>
  </si>
  <si>
    <t>Cerveza Stella Artois 473 ml pack 24</t>
  </si>
  <si>
    <t>Stella Artois 473 ml pack 24</t>
  </si>
  <si>
    <t>https://img.quodom.com.ar/producto/600.png</t>
  </si>
  <si>
    <t>Z600</t>
  </si>
  <si>
    <t>Agua Villavicencio Reserva</t>
  </si>
  <si>
    <t>https://img.quodom.com.ar/producto/601.png</t>
  </si>
  <si>
    <t>Z601</t>
  </si>
  <si>
    <t>Agua Villavicencio</t>
  </si>
  <si>
    <t>https://img.quodom.com.ar/producto/602.png</t>
  </si>
  <si>
    <t>Z602</t>
  </si>
  <si>
    <t>Jugo Baggio</t>
  </si>
  <si>
    <t>https://img.quodom.com.ar/producto/603.png</t>
  </si>
  <si>
    <t>Z603</t>
  </si>
  <si>
    <t>Aperol 750 ml (Caja x 6)</t>
  </si>
  <si>
    <t>https://img.quodom.com.ar/producto/604.png</t>
  </si>
  <si>
    <t>Z604</t>
  </si>
  <si>
    <t>Fernet Branca</t>
  </si>
  <si>
    <t>https://img.quodom.com.ar/producto/605.png</t>
  </si>
  <si>
    <t>Z605</t>
  </si>
  <si>
    <t>Fernet Branca Menta</t>
  </si>
  <si>
    <t>https://img.quodom.com.ar/producto/606.png</t>
  </si>
  <si>
    <t>Z606</t>
  </si>
  <si>
    <t>Campari 750 ml (Caja x 6)</t>
  </si>
  <si>
    <t>https://img.quodom.com.ar/producto/607.png</t>
  </si>
  <si>
    <t>Z607</t>
  </si>
  <si>
    <t>Carpano Rosso 950 ml (Caja x 6)</t>
  </si>
  <si>
    <t>https://img.quodom.com.ar/producto/608.png</t>
  </si>
  <si>
    <t>Z608</t>
  </si>
  <si>
    <t>Cazalis leger 950 ml (Caja x 6)</t>
  </si>
  <si>
    <t>https://img.quodom.com.ar/producto/609.png</t>
  </si>
  <si>
    <t>Z609</t>
  </si>
  <si>
    <t>Cinzano 1 lt (Caja x 6)</t>
  </si>
  <si>
    <t>https://img.quodom.com.ar/producto/610.png</t>
  </si>
  <si>
    <t>Z610</t>
  </si>
  <si>
    <t>Cynar 70 proof 750 ml (Caja x 6)</t>
  </si>
  <si>
    <t>https://img.quodom.com.ar/producto/611.png</t>
  </si>
  <si>
    <t>Z611</t>
  </si>
  <si>
    <t>Cynar 750 ml (Caja x 6)</t>
  </si>
  <si>
    <t>https://img.quodom.com.ar/producto/612.png</t>
  </si>
  <si>
    <t>Z612</t>
  </si>
  <si>
    <t>Gancia 950 ml (Caja x 6)</t>
  </si>
  <si>
    <t>https://img.quodom.com.ar/producto/613.png</t>
  </si>
  <si>
    <t>Z613</t>
  </si>
  <si>
    <t>Hesperidina 1 lt (Caja x 6)</t>
  </si>
  <si>
    <t>https://img.quodom.com.ar/producto/614.png</t>
  </si>
  <si>
    <t>Z614</t>
  </si>
  <si>
    <t>Martini Bianco 1 lt (Caja x 6)</t>
  </si>
  <si>
    <t>https://img.quodom.com.ar/producto/615.png</t>
  </si>
  <si>
    <t>Z615</t>
  </si>
  <si>
    <t>Pineral 750 ml (Caja x 6)</t>
  </si>
  <si>
    <t>https://img.quodom.com.ar/producto/616.png</t>
  </si>
  <si>
    <t>Z616</t>
  </si>
  <si>
    <t>Punt E Mes 750 ml (Caja x 6)</t>
  </si>
  <si>
    <t>https://img.quodom.com.ar/producto/617.png</t>
  </si>
  <si>
    <t>Z617</t>
  </si>
  <si>
    <t>Vino Encuentro Malbec Rutini 6 unidades</t>
  </si>
  <si>
    <t>https://img.quodom.com.ar/producto/618.png</t>
  </si>
  <si>
    <t>Z618</t>
  </si>
  <si>
    <t>Vino Rutini</t>
  </si>
  <si>
    <t>https://img.quodom.com.ar/producto/619.png</t>
  </si>
  <si>
    <t>Z619</t>
  </si>
  <si>
    <t>VARIEDAD</t>
  </si>
  <si>
    <t>Vino Trumpeter</t>
  </si>
  <si>
    <t>https://img.quodom.com.ar/producto/620.png</t>
  </si>
  <si>
    <t>Z620</t>
  </si>
  <si>
    <t>Vino Latitud 33 Malbec 6 unidades</t>
  </si>
  <si>
    <t>https://img.quodom.com.ar/producto/621.png</t>
  </si>
  <si>
    <t>Z621</t>
  </si>
  <si>
    <t>Vino Valmont Tinto 6 unidades</t>
  </si>
  <si>
    <t>https://img.quodom.com.ar/producto/622.png</t>
  </si>
  <si>
    <t>Z622</t>
  </si>
  <si>
    <t>Vino Elementos</t>
  </si>
  <si>
    <t>https://img.quodom.com.ar/producto/623.png</t>
  </si>
  <si>
    <t>Z623</t>
  </si>
  <si>
    <t>Vino Don David</t>
  </si>
  <si>
    <t>https://img.quodom.com.ar/producto/624.png</t>
  </si>
  <si>
    <t>Z624</t>
  </si>
  <si>
    <t>Vino Luigi Bosca Malbec</t>
  </si>
  <si>
    <t>https://img.quodom.com.ar/producto/625.png</t>
  </si>
  <si>
    <t>Z625</t>
  </si>
  <si>
    <t>Vino Finca La Linda Malbec</t>
  </si>
  <si>
    <t>https://img.quodom.com.ar/producto/626.png</t>
  </si>
  <si>
    <t>Z626</t>
  </si>
  <si>
    <t>Vino DV Catena Malbec</t>
  </si>
  <si>
    <t>https://img.quodom.com.ar/producto/627.png</t>
  </si>
  <si>
    <t>Z627</t>
  </si>
  <si>
    <t>Vino Nicasia</t>
  </si>
  <si>
    <t>https://img.quodom.com.ar/producto/628.png</t>
  </si>
  <si>
    <t>Z628</t>
  </si>
  <si>
    <t>Vino Angelica Zapata Malbec 6 unidades</t>
  </si>
  <si>
    <t>https://img.quodom.com.ar/producto/629.png</t>
  </si>
  <si>
    <t>Z629</t>
  </si>
  <si>
    <t>Vino Alto Uxmal Malbec 750 ml Malbec 6 unidades</t>
  </si>
  <si>
    <t>https://img.quodom.com.ar/producto/630.png</t>
  </si>
  <si>
    <t>Z630</t>
  </si>
  <si>
    <t>Vino Estiba 1 Malbec 6 unidades</t>
  </si>
  <si>
    <t>https://img.quodom.com.ar/producto/631.png</t>
  </si>
  <si>
    <t>Z631</t>
  </si>
  <si>
    <t>Vino Uxmal Malbec 6 unidades</t>
  </si>
  <si>
    <t>https://img.quodom.com.ar/producto/632.png</t>
  </si>
  <si>
    <t>Z632</t>
  </si>
  <si>
    <t>Vino Esmeralda Malbec 6 unidades</t>
  </si>
  <si>
    <t>https://img.quodom.com.ar/producto/633.png</t>
  </si>
  <si>
    <t>Z633</t>
  </si>
  <si>
    <t>Vino Fond de Cave RESERVA Inc Malbec 6 unidades</t>
  </si>
  <si>
    <t>https://img.quodom.com.ar/producto/634.png</t>
  </si>
  <si>
    <t>Z634</t>
  </si>
  <si>
    <t>Vino Fond de Cave</t>
  </si>
  <si>
    <t>https://img.quodom.com.ar/producto/635.png</t>
  </si>
  <si>
    <t>Z635</t>
  </si>
  <si>
    <t>Vino Alaris</t>
  </si>
  <si>
    <t>https://img.quodom.com.ar/producto/636.png</t>
  </si>
  <si>
    <t>Z636</t>
  </si>
  <si>
    <t>Vino Familia Gascón</t>
  </si>
  <si>
    <t>https://img.quodom.com.ar/producto/637.png</t>
  </si>
  <si>
    <t>Z637</t>
  </si>
  <si>
    <t>Vino Alma Mora Select Reserve Malbec 6 unidades</t>
  </si>
  <si>
    <t>https://img.quodom.com.ar/producto/638.png</t>
  </si>
  <si>
    <t>Z638</t>
  </si>
  <si>
    <t>Vino Alma Mora</t>
  </si>
  <si>
    <t>https://img.quodom.com.ar/producto/639.png</t>
  </si>
  <si>
    <t>Z639</t>
  </si>
  <si>
    <t>Vino Dadá</t>
  </si>
  <si>
    <t>https://img.quodom.com.ar/producto/640.png</t>
  </si>
  <si>
    <t>Z640</t>
  </si>
  <si>
    <t>Vino Finca las Moras</t>
  </si>
  <si>
    <t>https://img.quodom.com.ar/producto/641.png</t>
  </si>
  <si>
    <t>Z641</t>
  </si>
  <si>
    <t>Vino Tinto Dulce 6 unidades</t>
  </si>
  <si>
    <t>https://img.quodom.com.ar/producto/642.png</t>
  </si>
  <si>
    <t>Z642</t>
  </si>
  <si>
    <t>Vino Cosecha Tardia Blanco 6 unidades</t>
  </si>
  <si>
    <t>https://img.quodom.com.ar/producto/643.png</t>
  </si>
  <si>
    <t>Z643</t>
  </si>
  <si>
    <t>Vino Nieto Senetiner Malbec 6 unidades</t>
  </si>
  <si>
    <t>https://img.quodom.com.ar/producto/644.png</t>
  </si>
  <si>
    <t>Z644</t>
  </si>
  <si>
    <t>Vino Emilia Malbec 6 unidades</t>
  </si>
  <si>
    <t>https://img.quodom.com.ar/producto/645.png</t>
  </si>
  <si>
    <t>Z645</t>
  </si>
  <si>
    <t>Vino Benjamin Nieto Chardonnay 6 unidades</t>
  </si>
  <si>
    <t>https://img.quodom.com.ar/producto/646.png</t>
  </si>
  <si>
    <t>Z646</t>
  </si>
  <si>
    <t>Vino Los Arboles</t>
  </si>
  <si>
    <t>https://img.quodom.com.ar/producto/647.png</t>
  </si>
  <si>
    <t>Z647</t>
  </si>
  <si>
    <t>Vino Santa Julia</t>
  </si>
  <si>
    <t>https://img.quodom.com.ar/producto/648.png</t>
  </si>
  <si>
    <t>Z648</t>
  </si>
  <si>
    <t>Vino Carcassone</t>
  </si>
  <si>
    <t>https://img.quodom.com.ar/producto/649.png</t>
  </si>
  <si>
    <t>Z649</t>
  </si>
  <si>
    <t>Vino Chateau Vieux Tinto 750 ml</t>
  </si>
  <si>
    <t>https://img.quodom.com.ar/producto/650.png</t>
  </si>
  <si>
    <t>Z650</t>
  </si>
  <si>
    <t>Vino Vasco Viejo</t>
  </si>
  <si>
    <t>https://img.quodom.com.ar/producto/651.png</t>
  </si>
  <si>
    <t>Z651</t>
  </si>
  <si>
    <t>Vino Lopez</t>
  </si>
  <si>
    <t>https://img.quodom.com.ar/producto/652.png</t>
  </si>
  <si>
    <t>Z652</t>
  </si>
  <si>
    <t>Energizante Red Bull</t>
  </si>
  <si>
    <t>https://img.quodom.com.ar/producto/653.png</t>
  </si>
  <si>
    <t>Z653</t>
  </si>
  <si>
    <t>Energizante Speed</t>
  </si>
  <si>
    <t>https://img.quodom.com.ar/producto/654.png</t>
  </si>
  <si>
    <t>Z654</t>
  </si>
  <si>
    <t>Amarula 750 ml</t>
  </si>
  <si>
    <t>https://img.quodom.com.ar/producto/655.png</t>
  </si>
  <si>
    <t>Z655</t>
  </si>
  <si>
    <t>Anis 8 hermanos Azul 1 litro</t>
  </si>
  <si>
    <t>https://img.quodom.com.ar/producto/656.png</t>
  </si>
  <si>
    <t>Z656</t>
  </si>
  <si>
    <t>Baileys 750 ml</t>
  </si>
  <si>
    <t>https://img.quodom.com.ar/producto/657.png</t>
  </si>
  <si>
    <t>Z657</t>
  </si>
  <si>
    <t>Borghetti 750 ml</t>
  </si>
  <si>
    <t>https://img.quodom.com.ar/producto/658.png</t>
  </si>
  <si>
    <t>Z658</t>
  </si>
  <si>
    <t>Licor Cafe Al Cognac Tres Plumas 750 ml</t>
  </si>
  <si>
    <t>https://img.quodom.com.ar/producto/659.png</t>
  </si>
  <si>
    <t>Z659</t>
  </si>
  <si>
    <t>Caña 1 de agosto 1 litro</t>
  </si>
  <si>
    <t>https://img.quodom.com.ar/producto/660.png</t>
  </si>
  <si>
    <t>Z660</t>
  </si>
  <si>
    <t>Cusenier 700 ml</t>
  </si>
  <si>
    <t>https://img.quodom.com.ar/producto/661.png</t>
  </si>
  <si>
    <t>Z661</t>
  </si>
  <si>
    <t>SABOR</t>
  </si>
  <si>
    <t>Jagermeister</t>
  </si>
  <si>
    <t>https://img.quodom.com.ar/producto/662.png</t>
  </si>
  <si>
    <t>Z662</t>
  </si>
  <si>
    <t>Legui 750 ml</t>
  </si>
  <si>
    <t>https://img.quodom.com.ar/producto/663.png</t>
  </si>
  <si>
    <t>Z663</t>
  </si>
  <si>
    <t>Sheridan 750 ml</t>
  </si>
  <si>
    <t>https://img.quodom.com.ar/producto/664.png</t>
  </si>
  <si>
    <t>Z664</t>
  </si>
  <si>
    <t>Tía María 690 ml</t>
  </si>
  <si>
    <t>https://img.quodom.com.ar/producto/665.png</t>
  </si>
  <si>
    <t>Z665</t>
  </si>
  <si>
    <t>Whisky Ballantines Finest 1 litro</t>
  </si>
  <si>
    <t>Ballantines Finest 1 litro</t>
  </si>
  <si>
    <t>https://img.quodom.com.ar/producto/666.png</t>
  </si>
  <si>
    <t>Z666</t>
  </si>
  <si>
    <t>Whisky Chivas Regal 12 años 1 litro</t>
  </si>
  <si>
    <t>Chivas Regal 12 años 1 litro</t>
  </si>
  <si>
    <t>https://img.quodom.com.ar/producto/667.png</t>
  </si>
  <si>
    <t>Z667</t>
  </si>
  <si>
    <t>Whisky Chivas Regal 18 años 750 ml</t>
  </si>
  <si>
    <t>Chivas Regal 18 años 750 ml</t>
  </si>
  <si>
    <t>https://img.quodom.com.ar/producto/668.png</t>
  </si>
  <si>
    <t>Z668</t>
  </si>
  <si>
    <t>Whisky Chivas Regal Extra 750 ml</t>
  </si>
  <si>
    <t>Chivas Regal Extra 750 ml</t>
  </si>
  <si>
    <t>https://img.quodom.com.ar/producto/669.png</t>
  </si>
  <si>
    <t>Z669</t>
  </si>
  <si>
    <t>Whisky Cutty Sark 750 ml</t>
  </si>
  <si>
    <t>Cutty Sark 750 ml</t>
  </si>
  <si>
    <t>https://img.quodom.com.ar/producto/670.png</t>
  </si>
  <si>
    <t>Z670</t>
  </si>
  <si>
    <t>Whisky Glenfiddich Malt 12 años 750 ml</t>
  </si>
  <si>
    <t>Glenfiddich Malt 12 años 750 ml</t>
  </si>
  <si>
    <t>https://img.quodom.com.ar/producto/671.png</t>
  </si>
  <si>
    <t>Z671</t>
  </si>
  <si>
    <t>Whisky Grand Old Parr 12 años 750 ml</t>
  </si>
  <si>
    <t>Grand Old Parr 12 años 750 ml</t>
  </si>
  <si>
    <t>https://img.quodom.com.ar/producto/672.png</t>
  </si>
  <si>
    <t>Z672</t>
  </si>
  <si>
    <t>Whisky J &amp; B 750 ml</t>
  </si>
  <si>
    <t>J &amp; B 750 ml</t>
  </si>
  <si>
    <t>https://img.quodom.com.ar/producto/673.png</t>
  </si>
  <si>
    <t>Z673</t>
  </si>
  <si>
    <t>Whisky Jack Daniels 750 ml</t>
  </si>
  <si>
    <t>Jack Daniels 750 ml</t>
  </si>
  <si>
    <t>https://img.quodom.com.ar/producto/674.png</t>
  </si>
  <si>
    <t>Z674</t>
  </si>
  <si>
    <t>Whisky Jack Daniels Honey 750 ml</t>
  </si>
  <si>
    <t>Jack Daniels Honey 750 ml</t>
  </si>
  <si>
    <t>https://img.quodom.com.ar/producto/675.png</t>
  </si>
  <si>
    <t>Z675</t>
  </si>
  <si>
    <t>Whisky Jameson 1 litro</t>
  </si>
  <si>
    <t>Jameson 1 litro</t>
  </si>
  <si>
    <t>https://img.quodom.com.ar/producto/676.png</t>
  </si>
  <si>
    <t>Z676</t>
  </si>
  <si>
    <t>Whisky Jameson Caskmates Ipa 750 ml</t>
  </si>
  <si>
    <t>Jameson Caskmates Ipa 750 ml</t>
  </si>
  <si>
    <t>https://img.quodom.com.ar/producto/677.png</t>
  </si>
  <si>
    <t>Z677</t>
  </si>
  <si>
    <t>Whisky Johnnie Walker 18 Años 750 ml</t>
  </si>
  <si>
    <t>Johnnie Walker 18 Años 750 ml</t>
  </si>
  <si>
    <t>https://img.quodom.com.ar/producto/678.png</t>
  </si>
  <si>
    <t>Z678</t>
  </si>
  <si>
    <t>Whisky Johnnie Walker 21 Años Xr 750 ml</t>
  </si>
  <si>
    <t>Johnnie Walker 21 Años Xr 750 ml</t>
  </si>
  <si>
    <t>https://img.quodom.com.ar/producto/679.png</t>
  </si>
  <si>
    <t>Z679</t>
  </si>
  <si>
    <t>Whisky Johnnie Walker Black Label 1 litro</t>
  </si>
  <si>
    <t>Johnnie Walker Black Label 1 litro</t>
  </si>
  <si>
    <t>https://img.quodom.com.ar/producto/680.png</t>
  </si>
  <si>
    <t>Z680</t>
  </si>
  <si>
    <t>Whisky Johnnie Walker Blue Label 750 ml</t>
  </si>
  <si>
    <t>Johnnie Walker Blue Label 750 ml</t>
  </si>
  <si>
    <t>https://img.quodom.com.ar/producto/681.png</t>
  </si>
  <si>
    <t>Z681</t>
  </si>
  <si>
    <t>Whisky Johnnie Walker Double Black 750 ml</t>
  </si>
  <si>
    <t>Johnnie Walker Double Black 750 ml</t>
  </si>
  <si>
    <t>https://img.quodom.com.ar/producto/682.png</t>
  </si>
  <si>
    <t>Z682</t>
  </si>
  <si>
    <t>Whisky Johnnie Walker Gold Reserve 750 ml</t>
  </si>
  <si>
    <t>Johnnie Walker Gold Reserve 750 ml</t>
  </si>
  <si>
    <t>https://img.quodom.com.ar/producto/683.png</t>
  </si>
  <si>
    <t>Z683</t>
  </si>
  <si>
    <t>Whisky Johnnie Walker Green Label 750 ml</t>
  </si>
  <si>
    <t>Johnnie Walker Green Label 750 ml</t>
  </si>
  <si>
    <t>https://img.quodom.com.ar/producto/684.png</t>
  </si>
  <si>
    <t>Z684</t>
  </si>
  <si>
    <t>Whisky Johnnie Walker Red Label 1 litro</t>
  </si>
  <si>
    <t>Johnnie Walker Red Label 1 litro</t>
  </si>
  <si>
    <t>https://img.quodom.com.ar/producto/685.png</t>
  </si>
  <si>
    <t>Z685</t>
  </si>
  <si>
    <t>Whisky Johnnie Walker Swing 750 ml</t>
  </si>
  <si>
    <t>Johnnie Walker Swing 750 ml</t>
  </si>
  <si>
    <t>https://img.quodom.com.ar/producto/686.png</t>
  </si>
  <si>
    <t>Z686</t>
  </si>
  <si>
    <t>Whisky Macallan 12 Años 700 ml</t>
  </si>
  <si>
    <t>Macallan 12 Años 700 ml</t>
  </si>
  <si>
    <t>https://img.quodom.com.ar/producto/687.png</t>
  </si>
  <si>
    <t>Z687</t>
  </si>
  <si>
    <t>Whisky Royal Salute 21 años 700 ml</t>
  </si>
  <si>
    <t>Royal Salute 21 años 700 ml</t>
  </si>
  <si>
    <t>https://img.quodom.com.ar/producto/688.png</t>
  </si>
  <si>
    <t>Z688</t>
  </si>
  <si>
    <t>Whisky The Famous Grouse Finest 750 ml</t>
  </si>
  <si>
    <t>The Famous Grouse Finest 750 ml</t>
  </si>
  <si>
    <t>https://img.quodom.com.ar/producto/689.png</t>
  </si>
  <si>
    <t>Z689</t>
  </si>
  <si>
    <t>Whisky The Glenlivet 12 años 700 ml</t>
  </si>
  <si>
    <t>The Glenlivet 12 años 700 ml</t>
  </si>
  <si>
    <t>https://img.quodom.com.ar/producto/690.png</t>
  </si>
  <si>
    <t>Z690</t>
  </si>
  <si>
    <t>Whisky Vat 69 750 ml</t>
  </si>
  <si>
    <t>Vat 69 750 ml</t>
  </si>
  <si>
    <t>https://img.quodom.com.ar/producto/691.png</t>
  </si>
  <si>
    <t>Z691</t>
  </si>
  <si>
    <t>Whisky White Horse 750 ml</t>
  </si>
  <si>
    <t>White Horse 750 ml</t>
  </si>
  <si>
    <t>https://img.quodom.com.ar/producto/692.png</t>
  </si>
  <si>
    <t>Z692</t>
  </si>
  <si>
    <t>Vodka Absolut 750 ml</t>
  </si>
  <si>
    <t>Absolut 750 ml</t>
  </si>
  <si>
    <t>https://img.quodom.com.ar/producto/693.png</t>
  </si>
  <si>
    <t>Z693</t>
  </si>
  <si>
    <t>Vodka Kovac 750 ml</t>
  </si>
  <si>
    <t>Kovac 750 ml</t>
  </si>
  <si>
    <t>https://img.quodom.com.ar/producto/694.png</t>
  </si>
  <si>
    <t>Z694</t>
  </si>
  <si>
    <t>Vodka Sernova Raspberry 700 ml</t>
  </si>
  <si>
    <t>Sernova Raspberry 700 ml</t>
  </si>
  <si>
    <t>https://img.quodom.com.ar/producto/695.png</t>
  </si>
  <si>
    <t>Z695</t>
  </si>
  <si>
    <t>Vodka Sky 750 ml</t>
  </si>
  <si>
    <t>Sky 750 ml</t>
  </si>
  <si>
    <t>https://img.quodom.com.ar/producto/696.png</t>
  </si>
  <si>
    <t>Z696</t>
  </si>
  <si>
    <t>Vodka Smirnoff 700 ml</t>
  </si>
  <si>
    <t>Smirnoff 700 ml</t>
  </si>
  <si>
    <t>https://img.quodom.com.ar/producto/697.png</t>
  </si>
  <si>
    <t>Z697</t>
  </si>
  <si>
    <t>Barniz exterior</t>
  </si>
  <si>
    <t>https://img.quodom.com.ar/producto/703.png</t>
  </si>
  <si>
    <t>Z703</t>
  </si>
  <si>
    <t>Fijador/sellador para madera</t>
  </si>
  <si>
    <t>https://img.quodom.com.ar/producto/704.png</t>
  </si>
  <si>
    <t>Z704</t>
  </si>
  <si>
    <t>Tinta 240 ml</t>
  </si>
  <si>
    <t>https://img.quodom.com.ar/producto/705.png</t>
  </si>
  <si>
    <t>Z705</t>
  </si>
  <si>
    <t>Pincel para Esmalte por 2 unidades</t>
  </si>
  <si>
    <t>https://img.quodom.com.ar/producto/706.png</t>
  </si>
  <si>
    <t>Z706</t>
  </si>
  <si>
    <t>Llana Plástica 30 cm</t>
  </si>
  <si>
    <t>https://img.quodom.com.ar/producto/707.png</t>
  </si>
  <si>
    <t>Z707</t>
  </si>
  <si>
    <t>Bandeja para Colgar</t>
  </si>
  <si>
    <t>https://img.quodom.com.ar/producto/708.png</t>
  </si>
  <si>
    <t>Z708</t>
  </si>
  <si>
    <t>Escalera de aluminio</t>
  </si>
  <si>
    <t>https://img.quodom.com.ar/producto/709.png</t>
  </si>
  <si>
    <t>Z709</t>
  </si>
  <si>
    <t>Escalera de aluminio extensible</t>
  </si>
  <si>
    <t>https://img.quodom.com.ar/producto/710.png</t>
  </si>
  <si>
    <t>Z710</t>
  </si>
  <si>
    <t>Cinta azul por 5 unidades</t>
  </si>
  <si>
    <t>https://img.quodom.com.ar/producto/711.png</t>
  </si>
  <si>
    <t>Z711</t>
  </si>
  <si>
    <t>Rodillo Antigota 22 cm</t>
  </si>
  <si>
    <t>https://img.quodom.com.ar/producto/712.png</t>
  </si>
  <si>
    <t>Z712</t>
  </si>
  <si>
    <t>Rodillo Epoxi 22 cm</t>
  </si>
  <si>
    <t>https://img.quodom.com.ar/producto/713.png</t>
  </si>
  <si>
    <t>Z713</t>
  </si>
  <si>
    <t>Repuesto antigota 22 cm</t>
  </si>
  <si>
    <t>https://img.quodom.com.ar/producto/714.png</t>
  </si>
  <si>
    <t>Z714</t>
  </si>
  <si>
    <t>Mango Jaula</t>
  </si>
  <si>
    <t>https://img.quodom.com.ar/producto/715.png</t>
  </si>
  <si>
    <t>Z715</t>
  </si>
  <si>
    <t>Rodillo de fibra sintética</t>
  </si>
  <si>
    <t>https://img.quodom.com.ar/producto/716.png</t>
  </si>
  <si>
    <t>Z716</t>
  </si>
  <si>
    <t>Rodillo con tela</t>
  </si>
  <si>
    <t>https://img.quodom.com.ar/producto/717.png</t>
  </si>
  <si>
    <t>Z717</t>
  </si>
  <si>
    <t>Rodillo sin tela</t>
  </si>
  <si>
    <t>https://img.quodom.com.ar/producto/718.png</t>
  </si>
  <si>
    <t>Z718</t>
  </si>
  <si>
    <t>Pantalón tipo cargo Dama</t>
  </si>
  <si>
    <t>https://img.quodom.com.ar/producto/719.png</t>
  </si>
  <si>
    <t>Z719</t>
  </si>
  <si>
    <t>Adaptador De Filtro 3M™ 502</t>
  </si>
  <si>
    <t>https://img.quodom.com.ar/producto/720.png</t>
  </si>
  <si>
    <t>Z720</t>
  </si>
  <si>
    <t>Retenedor 3m por 2 unidades</t>
  </si>
  <si>
    <t>https://img.quodom.com.ar/producto/721.png</t>
  </si>
  <si>
    <t>Z721</t>
  </si>
  <si>
    <t>Sujetador Filtros 3M™ 501 por 2 unidades</t>
  </si>
  <si>
    <t>https://img.quodom.com.ar/producto/722.png</t>
  </si>
  <si>
    <t>Z722</t>
  </si>
  <si>
    <t>Cartucho vapor orgánico 6001 3M por 2 unidades</t>
  </si>
  <si>
    <t>https://img.quodom.com.ar/producto/723.png</t>
  </si>
  <si>
    <t>Z723</t>
  </si>
  <si>
    <t>Cartucho gas ácido 6002 3M por 2 unidades</t>
  </si>
  <si>
    <t>https://img.quodom.com.ar/producto/724.png</t>
  </si>
  <si>
    <t>Z724</t>
  </si>
  <si>
    <t>Cartucho gas ácido 6003 3M por 2 unidades</t>
  </si>
  <si>
    <t>https://img.quodom.com.ar/producto/725.png</t>
  </si>
  <si>
    <t>Z725</t>
  </si>
  <si>
    <t>Cartucho amoníaco y metilamina 6004 3M por 2 unidades</t>
  </si>
  <si>
    <t>https://img.quodom.com.ar/producto/726.png</t>
  </si>
  <si>
    <t>Z726</t>
  </si>
  <si>
    <t>Cartucho formaldehído y vapores orgánicos 6005 3M por 2 unidades</t>
  </si>
  <si>
    <t>https://img.quodom.com.ar/producto/727.png</t>
  </si>
  <si>
    <t>Z727</t>
  </si>
  <si>
    <t>Cartucho multi gas y vapor 6006 3M por 2 unidades</t>
  </si>
  <si>
    <t>https://img.quodom.com.ar/producto/728.png</t>
  </si>
  <si>
    <t>Z728</t>
  </si>
  <si>
    <t>Cartucho vapor de mercurio y cloro 6009S 3M por 2 unidades</t>
  </si>
  <si>
    <t>https://img.quodom.com.ar/producto/729.png</t>
  </si>
  <si>
    <t>Z729</t>
  </si>
  <si>
    <t>Filtro Avanzado 3M™ P100 Olores Gases Ácidos 2296 por 2 unidades</t>
  </si>
  <si>
    <t>https://img.quodom.com.ar/producto/730.png</t>
  </si>
  <si>
    <t>Z730</t>
  </si>
  <si>
    <t>Filtro para Partículas 3M™ P100, 2096, c/Alivio para Gases Ácidos por 2 uni</t>
  </si>
  <si>
    <t>https://img.quodom.com.ar/producto/731.png</t>
  </si>
  <si>
    <t>Z731</t>
  </si>
  <si>
    <t>Filtro Avanzado 3M™ P100 Partículas 2291 por 2 unidades</t>
  </si>
  <si>
    <t>https://img.quodom.com.ar/producto/732.png</t>
  </si>
  <si>
    <t>Z732</t>
  </si>
  <si>
    <t>Filtro 3M™ P100 Ozono y Vapores Orgánicos 2097 por 2 unidades</t>
  </si>
  <si>
    <t>https://img.quodom.com.ar/producto/733.png</t>
  </si>
  <si>
    <t>Z733</t>
  </si>
  <si>
    <t>Filtro 3M™ 207, 2078, P95, c/Alivio para Vapor Orgánico Gas Ácido por 2 uni</t>
  </si>
  <si>
    <t>https://img.quodom.com.ar/producto/734.png</t>
  </si>
  <si>
    <t>Z734</t>
  </si>
  <si>
    <t>Filtro 3M™ 5N11 N95 Protección Respiratoria por 10 unidades</t>
  </si>
  <si>
    <t>https://img.quodom.com.ar/producto/735.png</t>
  </si>
  <si>
    <t>Z735</t>
  </si>
  <si>
    <t>Filtro 3M™ 2091-07000(AAD) P100 por 2 unidades</t>
  </si>
  <si>
    <t>https://img.quodom.com.ar/producto/736.png</t>
  </si>
  <si>
    <t>Z736</t>
  </si>
  <si>
    <t>Filtro 3M™ P95 Protección Respiratoria 2071 por 2 unidades</t>
  </si>
  <si>
    <t>https://img.quodom.com.ar/producto/737.png</t>
  </si>
  <si>
    <t>Z737</t>
  </si>
  <si>
    <t>Sombra para casco por 5 unidades</t>
  </si>
  <si>
    <t>https://img.quodom.com.ar/producto/738.png</t>
  </si>
  <si>
    <t>Z738</t>
  </si>
  <si>
    <t>Casco con arnes para altura por 5 unidades</t>
  </si>
  <si>
    <t>https://img.quodom.com.ar/producto/739.png</t>
  </si>
  <si>
    <t>Z739</t>
  </si>
  <si>
    <t>Cinta de Peligro 200 mts por 8 cm</t>
  </si>
  <si>
    <t>https://img.quodom.com.ar/producto/740.png</t>
  </si>
  <si>
    <t>Z740</t>
  </si>
  <si>
    <t>Cinta Antideslizante 25 mm por 18 mts</t>
  </si>
  <si>
    <t>https://img.quodom.com.ar/producto/741.png</t>
  </si>
  <si>
    <t>Z741</t>
  </si>
  <si>
    <t>Faja Lumbar por 5 unidades</t>
  </si>
  <si>
    <t>https://img.quodom.com.ar/producto/742.png</t>
  </si>
  <si>
    <t>Z742</t>
  </si>
  <si>
    <t>Cono reflectivo por 5 unidades</t>
  </si>
  <si>
    <t>https://img.quodom.com.ar/producto/743.png</t>
  </si>
  <si>
    <t>Z743</t>
  </si>
  <si>
    <t>https://img.quodom.com.ar/producto/744.png</t>
  </si>
  <si>
    <t>Z744</t>
  </si>
  <si>
    <t>Papel fotográfico por 5 unidades</t>
  </si>
  <si>
    <t>https://img.quodom.com.ar/producto/745.png</t>
  </si>
  <si>
    <t>Z745</t>
  </si>
  <si>
    <t>Banditas elásticas por 1 kg</t>
  </si>
  <si>
    <t>https://img.quodom.com.ar/producto/746.png</t>
  </si>
  <si>
    <t>Z746</t>
  </si>
  <si>
    <t>Bibliorato A4</t>
  </si>
  <si>
    <t>https://img.quodom.com.ar/producto/747.png</t>
  </si>
  <si>
    <t>Z747</t>
  </si>
  <si>
    <t>Cinta transparente 48 mm por 10 unidades</t>
  </si>
  <si>
    <t>https://img.quodom.com.ar/producto/748.png</t>
  </si>
  <si>
    <t>Z748</t>
  </si>
  <si>
    <t>Cinta transparente 24 mm por 10 unidades</t>
  </si>
  <si>
    <t>https://img.quodom.com.ar/producto/749.png</t>
  </si>
  <si>
    <t>Z749</t>
  </si>
  <si>
    <t>Cinta transparente 12 mm por 10 unidades</t>
  </si>
  <si>
    <t>https://img.quodom.com.ar/producto/750.png</t>
  </si>
  <si>
    <t>Z750</t>
  </si>
  <si>
    <t>METROS</t>
  </si>
  <si>
    <t>Cinta marrón 48 mm por 10 unidades</t>
  </si>
  <si>
    <t>https://img.quodom.com.ar/producto/751.png</t>
  </si>
  <si>
    <t>Z751</t>
  </si>
  <si>
    <t>Cinta silver 48 mm</t>
  </si>
  <si>
    <t>https://img.quodom.com.ar/producto/752.png</t>
  </si>
  <si>
    <t>Z752</t>
  </si>
  <si>
    <t>Cinta de papel x 30 mts por 10 unidades</t>
  </si>
  <si>
    <t>https://img.quodom.com.ar/producto/753.png</t>
  </si>
  <si>
    <t>Z753</t>
  </si>
  <si>
    <t>ESPESOR</t>
  </si>
  <si>
    <t>Lapiceras por 12 unidades</t>
  </si>
  <si>
    <t>https://img.quodom.com.ar/producto/754.png</t>
  </si>
  <si>
    <t>Z754</t>
  </si>
  <si>
    <t>Lapiceras por 50 unidades</t>
  </si>
  <si>
    <t>https://img.quodom.com.ar/producto/755.png</t>
  </si>
  <si>
    <t>Z755</t>
  </si>
  <si>
    <t>Resaltador por 10 unidades</t>
  </si>
  <si>
    <t>https://img.quodom.com.ar/producto/756.png</t>
  </si>
  <si>
    <t>Z756</t>
  </si>
  <si>
    <t>Lapiz corrector por 24 unidades</t>
  </si>
  <si>
    <t>https://img.quodom.com.ar/producto/757.png</t>
  </si>
  <si>
    <t>Z757</t>
  </si>
  <si>
    <t>Borratintas por 6 unidades</t>
  </si>
  <si>
    <t>https://img.quodom.com.ar/producto/758.png</t>
  </si>
  <si>
    <t>Z758</t>
  </si>
  <si>
    <t>Marcador de pizarra por 12 unidades</t>
  </si>
  <si>
    <t>https://img.quodom.com.ar/producto/759.png</t>
  </si>
  <si>
    <t>Z759</t>
  </si>
  <si>
    <t>Marcador indeleble por 12 unidades</t>
  </si>
  <si>
    <t>https://img.quodom.com.ar/producto/760.png</t>
  </si>
  <si>
    <t>Z760</t>
  </si>
  <si>
    <t>Goma de borrar lápiz por 10 unidades</t>
  </si>
  <si>
    <t>https://img.quodom.com.ar/producto/761.png</t>
  </si>
  <si>
    <t>Z761</t>
  </si>
  <si>
    <t>Carpetas escolares A3</t>
  </si>
  <si>
    <t>https://img.quodom.com.ar/producto/762.png</t>
  </si>
  <si>
    <t>Z762</t>
  </si>
  <si>
    <t>Carpetas A4</t>
  </si>
  <si>
    <t>https://img.quodom.com.ar/producto/763.png</t>
  </si>
  <si>
    <t>Z763</t>
  </si>
  <si>
    <t>Carpeta Cristal por 12 unidades</t>
  </si>
  <si>
    <t>https://img.quodom.com.ar/producto/764.png</t>
  </si>
  <si>
    <t>Z764</t>
  </si>
  <si>
    <t>Cuaderno escolar 48 hojas</t>
  </si>
  <si>
    <t>https://img.quodom.com.ar/producto/765.png</t>
  </si>
  <si>
    <t>Z765</t>
  </si>
  <si>
    <t>Cuaderno universitario 48 hojas</t>
  </si>
  <si>
    <t>https://img.quodom.com.ar/producto/766.png</t>
  </si>
  <si>
    <t>Z766</t>
  </si>
  <si>
    <t>Repuesto 480 hojas N°3</t>
  </si>
  <si>
    <t>https://img.quodom.com.ar/producto/767.png</t>
  </si>
  <si>
    <t>Z767</t>
  </si>
  <si>
    <t>Block por 80 hojas</t>
  </si>
  <si>
    <t>https://img.quodom.com.ar/producto/768.png</t>
  </si>
  <si>
    <t>Z768</t>
  </si>
  <si>
    <t>Plasticola 40 gramos por 12 unidades</t>
  </si>
  <si>
    <t>https://img.quodom.com.ar/producto/769.png</t>
  </si>
  <si>
    <t>Z769</t>
  </si>
  <si>
    <t>Tijera</t>
  </si>
  <si>
    <t>https://img.quodom.com.ar/producto/770.png</t>
  </si>
  <si>
    <t>Z770</t>
  </si>
  <si>
    <t>Regla</t>
  </si>
  <si>
    <t>https://img.quodom.com.ar/producto/771.png</t>
  </si>
  <si>
    <t>Z771</t>
  </si>
  <si>
    <t>Cartulina 45 cm x 63 cm por 20 unidades</t>
  </si>
  <si>
    <t>https://img.quodom.com.ar/producto/772.png</t>
  </si>
  <si>
    <t>Z772</t>
  </si>
  <si>
    <t>Tempera 250 gr</t>
  </si>
  <si>
    <t>https://img.quodom.com.ar/producto/773.png</t>
  </si>
  <si>
    <t>Z773</t>
  </si>
  <si>
    <t>Esmalte Sintético Mate</t>
  </si>
  <si>
    <t>https://img.quodom.com.ar/producto/779.png</t>
  </si>
  <si>
    <t>Z779</t>
  </si>
  <si>
    <t>Esmalte Sintético Brillante</t>
  </si>
  <si>
    <t>https://img.quodom.com.ar/producto/780.png</t>
  </si>
  <si>
    <t>Z780</t>
  </si>
  <si>
    <t>Impermeabilizante Tradicional Sinteplast</t>
  </si>
  <si>
    <t>https://img.quodom.com.ar/producto/781.png</t>
  </si>
  <si>
    <t>Z781</t>
  </si>
  <si>
    <t>Impermeabilizante Ladrillos Cerámico</t>
  </si>
  <si>
    <t>https://img.quodom.com.ar/producto/782.png</t>
  </si>
  <si>
    <t>Z782</t>
  </si>
  <si>
    <t>Impermeabilizante Ladrillos Natural</t>
  </si>
  <si>
    <t>https://img.quodom.com.ar/producto/783.png</t>
  </si>
  <si>
    <t>Z783</t>
  </si>
  <si>
    <t>Piscinas base acuosa Blanco</t>
  </si>
  <si>
    <t>https://img.quodom.com.ar/producto/784.png</t>
  </si>
  <si>
    <t>Z784</t>
  </si>
  <si>
    <t>Piscinas base acuosa Celeste</t>
  </si>
  <si>
    <t>https://img.quodom.com.ar/producto/785.png</t>
  </si>
  <si>
    <t>Z785</t>
  </si>
  <si>
    <t>Piscinas base acuosa Azul Profundo</t>
  </si>
  <si>
    <t>https://img.quodom.com.ar/producto/786.png</t>
  </si>
  <si>
    <t>Z786</t>
  </si>
  <si>
    <t>Piscinas base solvente Blanco</t>
  </si>
  <si>
    <t>https://img.quodom.com.ar/producto/787.png</t>
  </si>
  <si>
    <t>Z787</t>
  </si>
  <si>
    <t>Piscinas base solvente Celeste</t>
  </si>
  <si>
    <t>https://img.quodom.com.ar/producto/788.png</t>
  </si>
  <si>
    <t>Z788</t>
  </si>
  <si>
    <t>Piscinas base solvente Azul Profundo</t>
  </si>
  <si>
    <t>https://img.quodom.com.ar/producto/789.png</t>
  </si>
  <si>
    <t>Z789</t>
  </si>
  <si>
    <t>Piscinas fibra de vidrio Celeste</t>
  </si>
  <si>
    <t>https://img.quodom.com.ar/producto/790.png</t>
  </si>
  <si>
    <t>Z790</t>
  </si>
  <si>
    <t>Piscinas fibra de vidrio Azul Profundo</t>
  </si>
  <si>
    <t>https://img.quodom.com.ar/producto/791.png</t>
  </si>
  <si>
    <t>Z791</t>
  </si>
  <si>
    <t>Esmalte Sintético Satinado</t>
  </si>
  <si>
    <t>https://img.quodom.com.ar/producto/792.png</t>
  </si>
  <si>
    <t>Z792</t>
  </si>
  <si>
    <t>Esmalte al agua Satinado</t>
  </si>
  <si>
    <t>https://img.quodom.com.ar/producto/793.png</t>
  </si>
  <si>
    <t>Z793</t>
  </si>
  <si>
    <t>Esmalte al agua Mate</t>
  </si>
  <si>
    <t>https://img.quodom.com.ar/producto/794.png</t>
  </si>
  <si>
    <t>Z794</t>
  </si>
  <si>
    <t>Convertidor Satinado</t>
  </si>
  <si>
    <t>https://img.quodom.com.ar/producto/795.png</t>
  </si>
  <si>
    <t>Z795</t>
  </si>
  <si>
    <t>Convertidor Mate</t>
  </si>
  <si>
    <t>https://img.quodom.com.ar/producto/796.png</t>
  </si>
  <si>
    <t>Z796</t>
  </si>
  <si>
    <t>Pisos alto tránsito</t>
  </si>
  <si>
    <t>https://img.quodom.com.ar/producto/797.png</t>
  </si>
  <si>
    <t>Z797</t>
  </si>
  <si>
    <t>Lijas para madera por 10 unidades</t>
  </si>
  <si>
    <t>Z798</t>
  </si>
  <si>
    <t>Masilla para aluminio por 1 kg</t>
  </si>
  <si>
    <t>https://img.quodom.com.ar/producto/799.png</t>
  </si>
  <si>
    <t>Z799</t>
  </si>
  <si>
    <t>Masilla para placas de yeso</t>
  </si>
  <si>
    <t>https://img.quodom.com.ar/producto/702.png</t>
  </si>
  <si>
    <t>Z800</t>
  </si>
  <si>
    <t>Canto rodado por m3</t>
  </si>
  <si>
    <t>https://img.quodom.com.ar/producto/801.png</t>
  </si>
  <si>
    <t>Z801</t>
  </si>
  <si>
    <t>Yeso proyectable por 30 kg</t>
  </si>
  <si>
    <t>https://img.quodom.com.ar/producto/802.png</t>
  </si>
  <si>
    <t>Z802</t>
  </si>
  <si>
    <t>Revoque fino exterior por 30 kg</t>
  </si>
  <si>
    <t>https://img.quodom.com.ar/producto/803.png</t>
  </si>
  <si>
    <t>Z803</t>
  </si>
  <si>
    <t>Revoque 3 en 1 por 30 kg</t>
  </si>
  <si>
    <t>https://img.quodom.com.ar/producto/804.png</t>
  </si>
  <si>
    <t>Z804</t>
  </si>
  <si>
    <t>Revoque 4 en 1 por 30 kg</t>
  </si>
  <si>
    <t>https://img.quodom.com.ar/producto/805.png</t>
  </si>
  <si>
    <t>Z805</t>
  </si>
  <si>
    <t>Bandeja polipropileno negra por 10 unidades</t>
  </si>
  <si>
    <t>https://img.quodom.com.ar/producto/807.png</t>
  </si>
  <si>
    <t>Z807</t>
  </si>
  <si>
    <t>Te rosca central macho pack 10 unidades</t>
  </si>
  <si>
    <t>https://img.quodom.com.ar/producto/808.png</t>
  </si>
  <si>
    <t>Z808</t>
  </si>
  <si>
    <t>Llave de paso normal</t>
  </si>
  <si>
    <t>https://img.quodom.com.ar/producto/809.png</t>
  </si>
  <si>
    <t>Z809</t>
  </si>
  <si>
    <t>Powerade Mountain Blast pack 6</t>
  </si>
  <si>
    <t>Z810</t>
  </si>
  <si>
    <t>Powerade Frutas Tropicales pack 6</t>
  </si>
  <si>
    <t>Z811</t>
  </si>
  <si>
    <t>Powerade Manzana pack 6</t>
  </si>
  <si>
    <t>Z812</t>
  </si>
  <si>
    <t>Rollo de cocina 200 paños pack 8 unidades</t>
  </si>
  <si>
    <t>Servilletas Soft Blanca 32x32mm caja x 1000 un</t>
  </si>
  <si>
    <t>Servilletas Soft Blanca 32x32 caja x 1000 unidades</t>
  </si>
  <si>
    <t>https://img.quodom.com.ar/producto/814.png</t>
  </si>
  <si>
    <t>Z814</t>
  </si>
  <si>
    <t xml:space="preserve">Placas de yeso estándar </t>
  </si>
  <si>
    <t>Placas de yeso antihumedad</t>
  </si>
  <si>
    <t>Placas de yeso ignífugas</t>
  </si>
  <si>
    <t>Placa cementicia</t>
  </si>
  <si>
    <t>Perfil solera</t>
  </si>
  <si>
    <t>Perfil solera 2,60 mts</t>
  </si>
  <si>
    <t>Perfil montante 2,60 mts</t>
  </si>
  <si>
    <t>Perfil omega 2,60 mts</t>
  </si>
  <si>
    <t>Perfil cantonera</t>
  </si>
  <si>
    <t>perfil cantonera</t>
  </si>
  <si>
    <t>Perfil U</t>
  </si>
  <si>
    <t>Tornillo N8 T1 punta mecha por 500 unidades</t>
  </si>
  <si>
    <t>Tornillo N8 T1 punta aguja por 500 unidades</t>
  </si>
  <si>
    <t>Tornillo N6 T2 punta mecha por 500 unidades</t>
  </si>
  <si>
    <t>Tornillo N6 T2 punta aguja por 500 unidades</t>
  </si>
  <si>
    <t>Tarugo con tope por 500 unidades</t>
  </si>
  <si>
    <t>Tarugo con tope n8 por 500 unidades</t>
  </si>
  <si>
    <t>Tarugo Pyck por 500 unidades</t>
  </si>
  <si>
    <t>Cinta de papel microperforada</t>
  </si>
  <si>
    <t xml:space="preserve">Cinta tramada </t>
  </si>
  <si>
    <t>Masilla en balde</t>
  </si>
  <si>
    <t>Masilla en bolsa</t>
  </si>
  <si>
    <t>idproducto</t>
  </si>
  <si>
    <t>valoratributo</t>
  </si>
  <si>
    <t>createdAt</t>
  </si>
  <si>
    <t>updatedAt</t>
  </si>
  <si>
    <t>esvendedor</t>
  </si>
  <si>
    <t>Laverrap</t>
  </si>
  <si>
    <t>Vainilla</t>
  </si>
  <si>
    <t>Confy</t>
  </si>
  <si>
    <t>Consorcio 80 x 110 cm</t>
  </si>
  <si>
    <t>Negra 45 x 60 cm</t>
  </si>
  <si>
    <t>Negra 60 x 90 cm</t>
  </si>
  <si>
    <t>Negra 50 x 70 cm</t>
  </si>
  <si>
    <t>Negra 80 x 100 cm</t>
  </si>
  <si>
    <t>Negra 90 x 110 cm</t>
  </si>
  <si>
    <t>Cristal 50 x 70 cm</t>
  </si>
  <si>
    <t>Cristal 20 x 30 cm</t>
  </si>
  <si>
    <t>Cristal 25 x 35 cm</t>
  </si>
  <si>
    <t>Cristal 80 x 100 cm</t>
  </si>
  <si>
    <t>Roja 60 x 90 cm</t>
  </si>
  <si>
    <t>Roja 80 x 100 cm</t>
  </si>
  <si>
    <t>Verde 80 x 100 cm</t>
  </si>
  <si>
    <t>Gastronómica 80 x 100 cm</t>
  </si>
  <si>
    <t>40 x 50 cm</t>
  </si>
  <si>
    <t>50 x 60 cm</t>
  </si>
  <si>
    <t>30 cm</t>
  </si>
  <si>
    <t>80 cm</t>
  </si>
  <si>
    <t>100 cm</t>
  </si>
  <si>
    <t>60 cm</t>
  </si>
  <si>
    <t>40 cm</t>
  </si>
  <si>
    <t>50 cm</t>
  </si>
  <si>
    <t>Con base</t>
  </si>
  <si>
    <t>Sin base</t>
  </si>
  <si>
    <t>Microfribra</t>
  </si>
  <si>
    <t>Pluma</t>
  </si>
  <si>
    <t>Globo</t>
  </si>
  <si>
    <t>Algodón 350 gr</t>
  </si>
  <si>
    <t>Algodón 500 gr</t>
  </si>
  <si>
    <t>Talle S</t>
  </si>
  <si>
    <t>Talle M</t>
  </si>
  <si>
    <t>Talle L</t>
  </si>
  <si>
    <t>Talle xL</t>
  </si>
  <si>
    <t>2 mts</t>
  </si>
  <si>
    <t>3 mts</t>
  </si>
  <si>
    <t>3,8 mts</t>
  </si>
  <si>
    <t>4,2 mts</t>
  </si>
  <si>
    <t>4,6 mts</t>
  </si>
  <si>
    <t>5 mts</t>
  </si>
  <si>
    <t>7 mts</t>
  </si>
  <si>
    <t>1"</t>
  </si>
  <si>
    <t>1 1/2"</t>
  </si>
  <si>
    <t>2"</t>
  </si>
  <si>
    <t>2 1/2"</t>
  </si>
  <si>
    <t>3"</t>
  </si>
  <si>
    <t>4,2 mm</t>
  </si>
  <si>
    <t>6 mm</t>
  </si>
  <si>
    <t>6mm</t>
  </si>
  <si>
    <t>8mm</t>
  </si>
  <si>
    <t>10mm</t>
  </si>
  <si>
    <t>12mm</t>
  </si>
  <si>
    <t>20mm</t>
  </si>
  <si>
    <t>25mm</t>
  </si>
  <si>
    <t>16mm</t>
  </si>
  <si>
    <t>10 x 10 cm</t>
  </si>
  <si>
    <t>10 x 15 cm</t>
  </si>
  <si>
    <t>10 x 20 cm</t>
  </si>
  <si>
    <t>12 x 12 cm</t>
  </si>
  <si>
    <t>15 x 15 cm</t>
  </si>
  <si>
    <t>20 x 20 cm</t>
  </si>
  <si>
    <t>4mm 15x15</t>
  </si>
  <si>
    <t>4mm 15x25</t>
  </si>
  <si>
    <t>6mm 15x15</t>
  </si>
  <si>
    <t>8mm 15x15</t>
  </si>
  <si>
    <t>18 litros</t>
  </si>
  <si>
    <t>200 litros</t>
  </si>
  <si>
    <t>Sherwin Williams</t>
  </si>
  <si>
    <t>Alba</t>
  </si>
  <si>
    <t>Sinteplast</t>
  </si>
  <si>
    <t>Casablanca</t>
  </si>
  <si>
    <t>Colorín</t>
  </si>
  <si>
    <t>Tersuave</t>
  </si>
  <si>
    <t>1 litro</t>
  </si>
  <si>
    <t>4 litros</t>
  </si>
  <si>
    <t>10 litros</t>
  </si>
  <si>
    <t>20 litros</t>
  </si>
  <si>
    <t>Otra</t>
  </si>
  <si>
    <t>Plavicon</t>
  </si>
  <si>
    <t>Sika</t>
  </si>
  <si>
    <t>UNIDAD</t>
  </si>
  <si>
    <t>250 ml</t>
  </si>
  <si>
    <t>500 ml</t>
  </si>
  <si>
    <t>1 lts</t>
  </si>
  <si>
    <t>4 lts</t>
  </si>
  <si>
    <t>20 lts</t>
  </si>
  <si>
    <t>Brillante</t>
  </si>
  <si>
    <t>Satinado</t>
  </si>
  <si>
    <t>Mate</t>
  </si>
  <si>
    <t>Negro</t>
  </si>
  <si>
    <t>Amarillo</t>
  </si>
  <si>
    <t>Blanco</t>
  </si>
  <si>
    <t>Gris</t>
  </si>
  <si>
    <t>Marrón</t>
  </si>
  <si>
    <t>Naranja</t>
  </si>
  <si>
    <t>Azul Marino</t>
  </si>
  <si>
    <t>Bermellón</t>
  </si>
  <si>
    <t>Marfil</t>
  </si>
  <si>
    <t>Verde inglés</t>
  </si>
  <si>
    <t>Rojo</t>
  </si>
  <si>
    <t>1 Litro</t>
  </si>
  <si>
    <t>4 Litros</t>
  </si>
  <si>
    <t>Incoloro</t>
  </si>
  <si>
    <t>Verde esmeralda</t>
  </si>
  <si>
    <t>Azul oscuro</t>
  </si>
  <si>
    <t>Gris acero</t>
  </si>
  <si>
    <t>Azul bandera</t>
  </si>
  <si>
    <t>Bermellon</t>
  </si>
  <si>
    <t>Amarillo industrial</t>
  </si>
  <si>
    <t>Gris perla</t>
  </si>
  <si>
    <t>Azul mediano</t>
  </si>
  <si>
    <t>Rojo vivo</t>
  </si>
  <si>
    <t>Cedro</t>
  </si>
  <si>
    <t>Caoba</t>
  </si>
  <si>
    <t>Natural</t>
  </si>
  <si>
    <t>Nogal</t>
  </si>
  <si>
    <t>Pino</t>
  </si>
  <si>
    <t>Roble claro</t>
  </si>
  <si>
    <t>Roble oscuro</t>
  </si>
  <si>
    <t>Viraró</t>
  </si>
  <si>
    <t>Cristal</t>
  </si>
  <si>
    <t>Roble</t>
  </si>
  <si>
    <t>0,5 litros</t>
  </si>
  <si>
    <t>100 ml</t>
  </si>
  <si>
    <t>Algarrobo</t>
  </si>
  <si>
    <t>Petiribi</t>
  </si>
  <si>
    <t>Viraro</t>
  </si>
  <si>
    <t>Wenge</t>
  </si>
  <si>
    <t>N° 10</t>
  </si>
  <si>
    <t>N° 15</t>
  </si>
  <si>
    <t>N° 20</t>
  </si>
  <si>
    <t>N° 25</t>
  </si>
  <si>
    <t>N° 30</t>
  </si>
  <si>
    <t>10 cm</t>
  </si>
  <si>
    <t>17 cm</t>
  </si>
  <si>
    <t>22 cm</t>
  </si>
  <si>
    <t>N° 3</t>
  </si>
  <si>
    <t>N° 4</t>
  </si>
  <si>
    <t>N° 5</t>
  </si>
  <si>
    <t>N° 6</t>
  </si>
  <si>
    <t>N° 7</t>
  </si>
  <si>
    <t>N° 8</t>
  </si>
  <si>
    <t>N° 9</t>
  </si>
  <si>
    <t>N° 11</t>
  </si>
  <si>
    <t>N° 12</t>
  </si>
  <si>
    <t>N° 22</t>
  </si>
  <si>
    <t>N° 24</t>
  </si>
  <si>
    <t>25 cm</t>
  </si>
  <si>
    <t>Chica</t>
  </si>
  <si>
    <t>Grande</t>
  </si>
  <si>
    <t>4 x 19 cm</t>
  </si>
  <si>
    <t>6 x 19 cm</t>
  </si>
  <si>
    <t>4 escalones</t>
  </si>
  <si>
    <t>6 escalones</t>
  </si>
  <si>
    <t>8 escalones</t>
  </si>
  <si>
    <t>10 escalones</t>
  </si>
  <si>
    <t>11 escalones</t>
  </si>
  <si>
    <t>12 escalones</t>
  </si>
  <si>
    <t>18 mm</t>
  </si>
  <si>
    <t>24 mm</t>
  </si>
  <si>
    <t>36 mm</t>
  </si>
  <si>
    <t>48 mm</t>
  </si>
  <si>
    <t>Interior</t>
  </si>
  <si>
    <t>Exterior</t>
  </si>
  <si>
    <t>1 kilo</t>
  </si>
  <si>
    <t>4 kilos</t>
  </si>
  <si>
    <t>10 kilos</t>
  </si>
  <si>
    <t>25 kilos</t>
  </si>
  <si>
    <t>350 gramos</t>
  </si>
  <si>
    <t>5 kilos</t>
  </si>
  <si>
    <t>20 mm</t>
  </si>
  <si>
    <t>25 mm</t>
  </si>
  <si>
    <t>32 mm</t>
  </si>
  <si>
    <t>40 mm</t>
  </si>
  <si>
    <t>50 mm</t>
  </si>
  <si>
    <t>63 mm</t>
  </si>
  <si>
    <t>20 mm x 1/2"</t>
  </si>
  <si>
    <t>25 mm x 1/2"</t>
  </si>
  <si>
    <t>25 mm x 3/4"</t>
  </si>
  <si>
    <t>32 mm x 1"</t>
  </si>
  <si>
    <t>32 mm x 1/2"</t>
  </si>
  <si>
    <t>32 mm x 3/4"</t>
  </si>
  <si>
    <t>20x20x20 mm</t>
  </si>
  <si>
    <t>25x25x25 mm</t>
  </si>
  <si>
    <t>32x32x32 mm</t>
  </si>
  <si>
    <t>40 x 40 x 40 mm</t>
  </si>
  <si>
    <t>50 x 50 x 50 mm</t>
  </si>
  <si>
    <t>63 x 63 x 63 mm</t>
  </si>
  <si>
    <t>25 x 20 x 25 mm</t>
  </si>
  <si>
    <t>32 x 20 x 32 mm</t>
  </si>
  <si>
    <t>32 x 25 x 32 mm</t>
  </si>
  <si>
    <t>40 x 25 x 40 mm</t>
  </si>
  <si>
    <t>40 x 32 x 40 mm</t>
  </si>
  <si>
    <t>50 x 25 x 50 mm</t>
  </si>
  <si>
    <t>50 x 32 x 50 mm</t>
  </si>
  <si>
    <t>50 x 40 x 50 mm</t>
  </si>
  <si>
    <t>63 x 40 x 63 mm</t>
  </si>
  <si>
    <t>63 x 50 x 63 mm</t>
  </si>
  <si>
    <t>20 mm x 3/8"</t>
  </si>
  <si>
    <t>40 mm x 1 1/4"</t>
  </si>
  <si>
    <t>50 mm x 1 1/2"</t>
  </si>
  <si>
    <t>63 mm x 2"</t>
  </si>
  <si>
    <t>40 mm x 1.1/4"</t>
  </si>
  <si>
    <t>50 mm x 1.1/2"</t>
  </si>
  <si>
    <t>32 mm x 4 mts</t>
  </si>
  <si>
    <t>40 mm x 4 mts</t>
  </si>
  <si>
    <t>50 mm x 4 mts</t>
  </si>
  <si>
    <t>63 mm x 4 mts</t>
  </si>
  <si>
    <t>20 mm x 4 mts</t>
  </si>
  <si>
    <t>25 mm x 4 mts</t>
  </si>
  <si>
    <t>0,9 x 1 mts</t>
  </si>
  <si>
    <t>1,03 x 1,1 mts</t>
  </si>
  <si>
    <t>1,15 x 1,25 mts</t>
  </si>
  <si>
    <t>1, 35 x 1,45 mts</t>
  </si>
  <si>
    <t>H138cm Diam114cm</t>
  </si>
  <si>
    <t>600 lts h60 cm lado120cm</t>
  </si>
  <si>
    <t>1000 lts h90 cm lado120cm</t>
  </si>
  <si>
    <t>600 lts</t>
  </si>
  <si>
    <t>1100 lts</t>
  </si>
  <si>
    <t>400 lts</t>
  </si>
  <si>
    <t>850 lts</t>
  </si>
  <si>
    <t>2750 lts</t>
  </si>
  <si>
    <t>5750 lts</t>
  </si>
  <si>
    <t>8000 lts</t>
  </si>
  <si>
    <t>11000 lts</t>
  </si>
  <si>
    <t>16000 lts</t>
  </si>
  <si>
    <t>26000 lts</t>
  </si>
  <si>
    <t>1 pulgada</t>
  </si>
  <si>
    <t>1/2 pulgada</t>
  </si>
  <si>
    <t>3/4 pulgada</t>
  </si>
  <si>
    <t>40 mm x 1 mts</t>
  </si>
  <si>
    <t>40 mm x 2 mts</t>
  </si>
  <si>
    <t>40 mm x 3 mts</t>
  </si>
  <si>
    <t>50 mm x 1 mt</t>
  </si>
  <si>
    <t>50 mm x 2 mt</t>
  </si>
  <si>
    <t>50 mm x 3 mts</t>
  </si>
  <si>
    <t>63 mm x 1 mt</t>
  </si>
  <si>
    <t>63 mm x 2 mts</t>
  </si>
  <si>
    <t>63 mm x 3 mts</t>
  </si>
  <si>
    <t>110 mm x 1 mt</t>
  </si>
  <si>
    <t>110 mm x 2 mts</t>
  </si>
  <si>
    <t>110 mm x 3 mts</t>
  </si>
  <si>
    <t>110 mm x 4 mts</t>
  </si>
  <si>
    <t>110 mm</t>
  </si>
  <si>
    <t>50 x 40 mm</t>
  </si>
  <si>
    <t>63 x 50 mm</t>
  </si>
  <si>
    <t>110 x 40 mm</t>
  </si>
  <si>
    <t>110 x 50 mm</t>
  </si>
  <si>
    <t>110 x 63 mm</t>
  </si>
  <si>
    <t>40 x 40 mm</t>
  </si>
  <si>
    <t>50 x 50 mm</t>
  </si>
  <si>
    <t>63 x 63 mm</t>
  </si>
  <si>
    <t>110 x 110 mm</t>
  </si>
  <si>
    <t>110 x 63 x 3x40 BAJA</t>
  </si>
  <si>
    <t>110 x 63 x 5x40</t>
  </si>
  <si>
    <t>800 watts</t>
  </si>
  <si>
    <t>1200 watts</t>
  </si>
  <si>
    <t>1500 watts</t>
  </si>
  <si>
    <t>1600 watts</t>
  </si>
  <si>
    <t>500 gramos</t>
  </si>
  <si>
    <t>3/4" por 10 mts</t>
  </si>
  <si>
    <t>3/4" por 20 mts</t>
  </si>
  <si>
    <t>3/4" por 40 mts</t>
  </si>
  <si>
    <t>1/2" por 10 mts</t>
  </si>
  <si>
    <t>1/2" por 20 mts</t>
  </si>
  <si>
    <t>Dorado</t>
  </si>
  <si>
    <t>Verde</t>
  </si>
  <si>
    <t>F50 13x10x4cm 480 cc</t>
  </si>
  <si>
    <t>F75 16x12x4cm 700 cc</t>
  </si>
  <si>
    <t>F100 21x14x4cm 1000 cc</t>
  </si>
  <si>
    <t>F200 29x19x4cm 2000 cc</t>
  </si>
  <si>
    <t>C200 28x14x5cm 2100 cc</t>
  </si>
  <si>
    <t>F50 13x10cm (480 cc)</t>
  </si>
  <si>
    <t>F75 16x12cm (700 cc)</t>
  </si>
  <si>
    <t>F100 21x14cm (1000 cc)</t>
  </si>
  <si>
    <t>F200 29x19cm (2000 cc)</t>
  </si>
  <si>
    <t>C200 28x14cm (2100 cc)</t>
  </si>
  <si>
    <t>14 cm</t>
  </si>
  <si>
    <t>20 cm</t>
  </si>
  <si>
    <t>23 cm</t>
  </si>
  <si>
    <t>26 cm</t>
  </si>
  <si>
    <t>28 cm</t>
  </si>
  <si>
    <t>32 cm</t>
  </si>
  <si>
    <t>23x7x5 cm (1/2 kg)</t>
  </si>
  <si>
    <t>1 kg 22x25x5 cm</t>
  </si>
  <si>
    <t>100 cc</t>
  </si>
  <si>
    <t>135 cc</t>
  </si>
  <si>
    <t>230 cc</t>
  </si>
  <si>
    <t>38 cm por 1 kg</t>
  </si>
  <si>
    <t>38 cm por 1 kg premium</t>
  </si>
  <si>
    <t>15,5 x 13 cm</t>
  </si>
  <si>
    <t>18 x 15 cm</t>
  </si>
  <si>
    <t>21 x 18 cm</t>
  </si>
  <si>
    <t>24 x 19 cm</t>
  </si>
  <si>
    <t>27 x 21 cm</t>
  </si>
  <si>
    <t>29 x 23 cm</t>
  </si>
  <si>
    <t>14 x 16,5 cm</t>
  </si>
  <si>
    <t>17 x 19,5 cm</t>
  </si>
  <si>
    <t>19 x 23 cm</t>
  </si>
  <si>
    <t>21,5 x 26 cm</t>
  </si>
  <si>
    <t>22,5 x 29 cm</t>
  </si>
  <si>
    <t>25 x 31 cm</t>
  </si>
  <si>
    <t>26.5 x 33 cm</t>
  </si>
  <si>
    <t>Diámetro 18 cm</t>
  </si>
  <si>
    <t>Diámetro 20 cm</t>
  </si>
  <si>
    <t>Diámetro 22 cm</t>
  </si>
  <si>
    <t>Diámetro 24 cm</t>
  </si>
  <si>
    <t>12 x 19 cm</t>
  </si>
  <si>
    <t>18 x 24 cm</t>
  </si>
  <si>
    <t>19 x 24 cm</t>
  </si>
  <si>
    <t>22 x 28 cm</t>
  </si>
  <si>
    <t>Diametro 16 cm</t>
  </si>
  <si>
    <t>Diametro 22 cm</t>
  </si>
  <si>
    <t>Diametro 24 cm</t>
  </si>
  <si>
    <t>Diametro 26 cm</t>
  </si>
  <si>
    <t>Diametro 29 cm</t>
  </si>
  <si>
    <t>Diametro 31 cm</t>
  </si>
  <si>
    <t>Diametro 36 cm</t>
  </si>
  <si>
    <t>Diámetro 8 cm</t>
  </si>
  <si>
    <t>Diámetro 10 cm</t>
  </si>
  <si>
    <t>Diámetro 12 cm</t>
  </si>
  <si>
    <t>15 cm</t>
  </si>
  <si>
    <t>Diam26 h5 cm</t>
  </si>
  <si>
    <t>Diam26 h11 cm</t>
  </si>
  <si>
    <t>Diam29,6 h5,6 cm</t>
  </si>
  <si>
    <t>Diam29,6 h11 cm</t>
  </si>
  <si>
    <t>Diam25 h5 cm</t>
  </si>
  <si>
    <t>15 x 27 x 1,5cm</t>
  </si>
  <si>
    <t>14 x 15 x 2 cm</t>
  </si>
  <si>
    <t>15 x 20 x 2 cm</t>
  </si>
  <si>
    <t>19 x 23 x 2 cm</t>
  </si>
  <si>
    <t>20 x 29 x 2,5 cm</t>
  </si>
  <si>
    <t>20,5 x 15 x 2 cm</t>
  </si>
  <si>
    <t>Diam 19 h5,5 cm</t>
  </si>
  <si>
    <t>20,2 x 15,2 x 3,3 cm</t>
  </si>
  <si>
    <t>23 x 20,4 x 3,7 cm</t>
  </si>
  <si>
    <t>10,8 x 8 x 4,2 cm</t>
  </si>
  <si>
    <t>15 x 10,8 x 4,5 cm</t>
  </si>
  <si>
    <t>17,8 x 13,2 x 5 cm</t>
  </si>
  <si>
    <t>22,8 x 18 x 4,1 cm</t>
  </si>
  <si>
    <t>27 x 18,6 x 4,8 cm</t>
  </si>
  <si>
    <t>10,8 x 8 x 1,3 cm</t>
  </si>
  <si>
    <t>15 x 10,8 x 1,3 cm</t>
  </si>
  <si>
    <t>17,8 x 13,2 x 1,3 cm</t>
  </si>
  <si>
    <t>22,8 x 18 x 1,3 cm</t>
  </si>
  <si>
    <t>27 x 18,6 x 2,5 cm</t>
  </si>
  <si>
    <t>23,3 x 17 x 4,6 cm</t>
  </si>
  <si>
    <t>23,3 x 17 x 1 cm</t>
  </si>
  <si>
    <t>Diam17 900cc</t>
  </si>
  <si>
    <t>14,5x12,5x65cm (500 ml)</t>
  </si>
  <si>
    <t>18,5x16,5x3,5cm (500 ml)</t>
  </si>
  <si>
    <t>18,5x16,5x 5cm (750 ml)</t>
  </si>
  <si>
    <t>18,5x16,5x6,5cm (1 Lt)</t>
  </si>
  <si>
    <t>Chico P17</t>
  </si>
  <si>
    <t>Grande P22</t>
  </si>
  <si>
    <t>1/4 kg</t>
  </si>
  <si>
    <t>1/2 kg</t>
  </si>
  <si>
    <t>1 kg</t>
  </si>
  <si>
    <t>20 x 25 cm</t>
  </si>
  <si>
    <t>25 x 35 cm</t>
  </si>
  <si>
    <t>60 x 80 cm</t>
  </si>
  <si>
    <t>14 x 14 cm</t>
  </si>
  <si>
    <t>28 cm x 100 mts</t>
  </si>
  <si>
    <t>38 cm x 200 mts</t>
  </si>
  <si>
    <t>38 cm x 300 mts</t>
  </si>
  <si>
    <t>30 cm x 600 mts</t>
  </si>
  <si>
    <t>38 cm x 600 mts</t>
  </si>
  <si>
    <t>45 cm x 600 mts</t>
  </si>
  <si>
    <t>30 cm x 1000 mts</t>
  </si>
  <si>
    <t>38 cm x 1000 mts</t>
  </si>
  <si>
    <t>45 cm x 1000 mts</t>
  </si>
  <si>
    <t>30 metros por 24 unidades</t>
  </si>
  <si>
    <t>50 metros por 24 unidades</t>
  </si>
  <si>
    <t>80 metros por 24 unidades</t>
  </si>
  <si>
    <t>300 metros por 8 unidades</t>
  </si>
  <si>
    <t>20 metros por 48 unidades</t>
  </si>
  <si>
    <t>Beige</t>
  </si>
  <si>
    <t>Blanca</t>
  </si>
  <si>
    <t>N° 1L: 17x7 cm</t>
  </si>
  <si>
    <t>N° 2L: 25x9 cm</t>
  </si>
  <si>
    <t>N° 3L: 27x12 cm</t>
  </si>
  <si>
    <t>N° 4A: 25x15 cm</t>
  </si>
  <si>
    <t>N° 5: 31x13 cm</t>
  </si>
  <si>
    <t>N° 6L: 34x15 cm</t>
  </si>
  <si>
    <t>N° 7: 34x19 cm</t>
  </si>
  <si>
    <t>N° 8: 42x19 cm</t>
  </si>
  <si>
    <t>N° 9: 49x19 cm</t>
  </si>
  <si>
    <t>N° 10: 40x24 cm</t>
  </si>
  <si>
    <t>Color</t>
  </si>
  <si>
    <t>14 x 20 cm</t>
  </si>
  <si>
    <t>14 x 26 cm</t>
  </si>
  <si>
    <t>22 x 30 cm</t>
  </si>
  <si>
    <t>26 x 30 cm</t>
  </si>
  <si>
    <t>30 x 32 cm</t>
  </si>
  <si>
    <t>30 x 41 cm</t>
  </si>
  <si>
    <t>45 x 48 cm</t>
  </si>
  <si>
    <t>20 x 20 x 10cm</t>
  </si>
  <si>
    <t>20 x 20 x 20cm</t>
  </si>
  <si>
    <t>30 x 20 x 20cm</t>
  </si>
  <si>
    <t>30 x 30 x 20cm</t>
  </si>
  <si>
    <t>30 x 30 x 30cm</t>
  </si>
  <si>
    <t>35 x 15 x 15cm</t>
  </si>
  <si>
    <t>35 x 25 x 25cm</t>
  </si>
  <si>
    <t>35 x 25 x 15cm</t>
  </si>
  <si>
    <t>40 x 20 x 20cm</t>
  </si>
  <si>
    <t>40 x 30 x 20cm</t>
  </si>
  <si>
    <t>40 x 30 x 30cm</t>
  </si>
  <si>
    <t>50 x 30 x 30cm</t>
  </si>
  <si>
    <t>50 x 40 x 30cm</t>
  </si>
  <si>
    <t>50 x 40 x 40cm</t>
  </si>
  <si>
    <t>60 x 40 x 20cm</t>
  </si>
  <si>
    <t>60 x 40 x 30cm</t>
  </si>
  <si>
    <t>60 x 40 x 40cm</t>
  </si>
  <si>
    <t>70 x 50 x 50cm</t>
  </si>
  <si>
    <t>1/2 pizza</t>
  </si>
  <si>
    <t>Pizza chica</t>
  </si>
  <si>
    <t>Pizza grande</t>
  </si>
  <si>
    <t>17 x 20 x 6cm</t>
  </si>
  <si>
    <t>23 x 23 x 6cm</t>
  </si>
  <si>
    <t>28 x 28 x 6cm</t>
  </si>
  <si>
    <t>12,5x12,5x7 cm</t>
  </si>
  <si>
    <t>16x16x6 cm</t>
  </si>
  <si>
    <t>20x20x7 cm</t>
  </si>
  <si>
    <t>24x24x10 cm</t>
  </si>
  <si>
    <t>26x26x12 cm</t>
  </si>
  <si>
    <t>27x27x10 cm</t>
  </si>
  <si>
    <t>27x27x15 cm</t>
  </si>
  <si>
    <t>27x27x5 cm</t>
  </si>
  <si>
    <t>30x30x10 cm</t>
  </si>
  <si>
    <t>33x33x12 cm</t>
  </si>
  <si>
    <t>33x33x8 cm</t>
  </si>
  <si>
    <t>70 cm</t>
  </si>
  <si>
    <t>90 cm</t>
  </si>
  <si>
    <t>120 cm</t>
  </si>
  <si>
    <t>140 cm</t>
  </si>
  <si>
    <t>10 cm x 1000 mts</t>
  </si>
  <si>
    <t>50 cm x 1000 mts</t>
  </si>
  <si>
    <t>13 cm</t>
  </si>
  <si>
    <t>16 cm</t>
  </si>
  <si>
    <t>19 cm</t>
  </si>
  <si>
    <t>3 hebras</t>
  </si>
  <si>
    <t>4 hebras</t>
  </si>
  <si>
    <t>5 hebras</t>
  </si>
  <si>
    <t>6 hebras</t>
  </si>
  <si>
    <t>8 hebras</t>
  </si>
  <si>
    <t>30 x 40 cm</t>
  </si>
  <si>
    <t>45 x 64 cm</t>
  </si>
  <si>
    <t>50 x 70 cm</t>
  </si>
  <si>
    <t>64 x 90 cm</t>
  </si>
  <si>
    <t>20 cm x 4 kg</t>
  </si>
  <si>
    <t>20 cm x 8 kg</t>
  </si>
  <si>
    <t>60 cm x 12 kg</t>
  </si>
  <si>
    <t>80 cm x 16 kg</t>
  </si>
  <si>
    <t>100 cm x 25 mts</t>
  </si>
  <si>
    <t>50 cm x 50 mts</t>
  </si>
  <si>
    <t>100 cm x 50 mts</t>
  </si>
  <si>
    <t>12 mm x 30 mts</t>
  </si>
  <si>
    <t>12 mm x 60 mts</t>
  </si>
  <si>
    <t>12 mm</t>
  </si>
  <si>
    <t>Negra</t>
  </si>
  <si>
    <t>Roja</t>
  </si>
  <si>
    <t>Verde Cristal</t>
  </si>
  <si>
    <t>60 x 90 cm</t>
  </si>
  <si>
    <t>80 x 110 cm</t>
  </si>
  <si>
    <t>90 x 120 cm</t>
  </si>
  <si>
    <t>15 x 20 cm</t>
  </si>
  <si>
    <t>20 x 30 cm</t>
  </si>
  <si>
    <t>35 x 45 cm</t>
  </si>
  <si>
    <t>50 x 50 cm</t>
  </si>
  <si>
    <t>5 x 7 cm</t>
  </si>
  <si>
    <t>7 x 10 cm</t>
  </si>
  <si>
    <t>9 x 12 cm</t>
  </si>
  <si>
    <t>12 x 17 cm</t>
  </si>
  <si>
    <t>17 x 25 cm</t>
  </si>
  <si>
    <t>Alta</t>
  </si>
  <si>
    <t>Baja</t>
  </si>
  <si>
    <t>15 x 25 cm</t>
  </si>
  <si>
    <t>40 x 60 cm</t>
  </si>
  <si>
    <t>12 x 13 cm CD</t>
  </si>
  <si>
    <t>15x 20 cm</t>
  </si>
  <si>
    <t>A4 75 gramos</t>
  </si>
  <si>
    <t>Oficio 75 gramos</t>
  </si>
  <si>
    <t>S</t>
  </si>
  <si>
    <t>M</t>
  </si>
  <si>
    <t>L</t>
  </si>
  <si>
    <t>xL</t>
  </si>
  <si>
    <t>Celeste</t>
  </si>
  <si>
    <t>Lata 220 cc Pack 8</t>
  </si>
  <si>
    <t>Lata 354 cc Pack 6</t>
  </si>
  <si>
    <t>Botella 500 ml Pack 12</t>
  </si>
  <si>
    <t>Botella 1,5 lts Pack 8</t>
  </si>
  <si>
    <t>Botella 1,75 lts Pack 8</t>
  </si>
  <si>
    <t>Botella 2,25 lts Pack 8</t>
  </si>
  <si>
    <t>Botella 3 lts Pack 6</t>
  </si>
  <si>
    <t>Lata 354 cc Pack 8</t>
  </si>
  <si>
    <t>Botella 500 ml Pack 6</t>
  </si>
  <si>
    <t>Botella 500 ml Pack 8</t>
  </si>
  <si>
    <t>Lata 354 cc Pack 12</t>
  </si>
  <si>
    <t>Lata 354 cc (Pack 6)</t>
  </si>
  <si>
    <t>Botella 1,5 lts Pack 6</t>
  </si>
  <si>
    <t>Botella 1,5 lts (Pack 8)</t>
  </si>
  <si>
    <t>Cola 2,25 lts</t>
  </si>
  <si>
    <t>Cola sin azúcas 2,25 lts</t>
  </si>
  <si>
    <t>Lima 2,25 lts</t>
  </si>
  <si>
    <t>Lima sin azúcar 2,25 lts</t>
  </si>
  <si>
    <t>Naranja 2,25 lts</t>
  </si>
  <si>
    <t>Naranja light 2,25 lts</t>
  </si>
  <si>
    <t>Pomelo 2,25 lts</t>
  </si>
  <si>
    <t>Pomelo light 2,25 lts</t>
  </si>
  <si>
    <t>Tónica 2,25 lts</t>
  </si>
  <si>
    <t>Lata 473 ml Pack 24</t>
  </si>
  <si>
    <t>Porrón 340 ml Pack 24</t>
  </si>
  <si>
    <t>Botella 1 lt</t>
  </si>
  <si>
    <t>Lata 473 ml</t>
  </si>
  <si>
    <t>Lata 710 ml</t>
  </si>
  <si>
    <t>Porrón 730 ml Pack 24</t>
  </si>
  <si>
    <t>500 ml con gas pack 24</t>
  </si>
  <si>
    <t>500 ml sin gas pack 24</t>
  </si>
  <si>
    <t>1,5 lts con gas pack 24</t>
  </si>
  <si>
    <t>1,5 lts sin gas pack 24</t>
  </si>
  <si>
    <t>2 lts con gas pack 24</t>
  </si>
  <si>
    <t>2 lts sin gas pack 24</t>
  </si>
  <si>
    <t>1 lt Manzana Pack 18</t>
  </si>
  <si>
    <t>1 lt Multifruta Pack 18</t>
  </si>
  <si>
    <t>1 lt Naranja Pack 18</t>
  </si>
  <si>
    <t>50 ml Caja x 12</t>
  </si>
  <si>
    <t>450 ml Caja x 6</t>
  </si>
  <si>
    <t>750 ml Caja x 6</t>
  </si>
  <si>
    <t>1000 ml Caja x 6</t>
  </si>
  <si>
    <t>Cosecha 2017 Caja x 6</t>
  </si>
  <si>
    <t>Cosecha 2018 Caja x 6</t>
  </si>
  <si>
    <t>Cosecha 2019 Caja x 6</t>
  </si>
  <si>
    <t>Cabernet-Malbec Cosecha 2019 Caja x 6</t>
  </si>
  <si>
    <t>Sauvignon Blanc Caja x 6</t>
  </si>
  <si>
    <t>Cabernet Franc Malbec 2019 Caja x 6</t>
  </si>
  <si>
    <t>Cabernet Franc Malbec 2018 Caja x 6</t>
  </si>
  <si>
    <t>Malbec Caja x 6</t>
  </si>
  <si>
    <t>Cabernet Sauvignon Caja x 6</t>
  </si>
  <si>
    <t>Chardonnay Caja x 6</t>
  </si>
  <si>
    <t>Cabernet Franc Caja x 6</t>
  </si>
  <si>
    <t>Reserve Malvec Caja x 6</t>
  </si>
  <si>
    <t>Torrontes Caja x 6</t>
  </si>
  <si>
    <t>Cosecha 2020 Caja x 6</t>
  </si>
  <si>
    <t>Cabernet Malbec Caja x 6</t>
  </si>
  <si>
    <t>Blancs de Blancs Caja x 6</t>
  </si>
  <si>
    <t>Cabernet Caja x 6</t>
  </si>
  <si>
    <t>Sauvignon Caja x 6</t>
  </si>
  <si>
    <t>Nº2 Merlot</t>
  </si>
  <si>
    <t>Nº3 Blend Cabernet Sauvignon y Syrah</t>
  </si>
  <si>
    <t>Malbec</t>
  </si>
  <si>
    <t>Nº1 Blend Bonarda, malbec</t>
  </si>
  <si>
    <t>Chenin Dulce Caja x 6</t>
  </si>
  <si>
    <t>Dulce tinto Caja x 6</t>
  </si>
  <si>
    <t>Clásico tinto 700 ml Caja x 6</t>
  </si>
  <si>
    <t>Clásico tinto 375 ml Caja x 6</t>
  </si>
  <si>
    <t>Tinto Caja x 6</t>
  </si>
  <si>
    <t>Blanco Caja x 6</t>
  </si>
  <si>
    <t>Tinto 700 ml Caja x 6</t>
  </si>
  <si>
    <t>Blanco 700 Caja x 6</t>
  </si>
  <si>
    <t>Tinto 375 ml Caja x 6</t>
  </si>
  <si>
    <t>Mlabec 375 ml Caja x 6</t>
  </si>
  <si>
    <t>Blanco 750 ml Caja x 6</t>
  </si>
  <si>
    <t>Malbec 750 ml Caja x 6</t>
  </si>
  <si>
    <t>250 ml Pack 4</t>
  </si>
  <si>
    <t>250 ml Pack 24</t>
  </si>
  <si>
    <t>Blue Curacao</t>
  </si>
  <si>
    <t>Cusenier Chocolate</t>
  </si>
  <si>
    <t>Dulce de leche</t>
  </si>
  <si>
    <t>Durazno</t>
  </si>
  <si>
    <t>Frutilla</t>
  </si>
  <si>
    <t>Huevo</t>
  </si>
  <si>
    <t>Melón</t>
  </si>
  <si>
    <t>Menta</t>
  </si>
  <si>
    <t>350 ml</t>
  </si>
  <si>
    <t>700 ml</t>
  </si>
  <si>
    <t>1750 ml</t>
  </si>
  <si>
    <t>Clásico</t>
  </si>
  <si>
    <t>Cream</t>
  </si>
  <si>
    <t>Apeach</t>
  </si>
  <si>
    <t>Apple</t>
  </si>
  <si>
    <t>Grapefuit</t>
  </si>
  <si>
    <t>Lime</t>
  </si>
  <si>
    <t>Mandarin</t>
  </si>
  <si>
    <t>Mango</t>
  </si>
  <si>
    <t>Pears</t>
  </si>
  <si>
    <t>Raspberri</t>
  </si>
  <si>
    <t>Ruby Red</t>
  </si>
  <si>
    <t>Vodka 40°</t>
  </si>
  <si>
    <t>Apricot</t>
  </si>
  <si>
    <t>Coconut</t>
  </si>
  <si>
    <t>Passion Fuit</t>
  </si>
  <si>
    <t>Pineapple</t>
  </si>
  <si>
    <t>Raspberry</t>
  </si>
  <si>
    <t>Clasico</t>
  </si>
  <si>
    <t>Bitter Citric</t>
  </si>
  <si>
    <t>G. Apple</t>
  </si>
  <si>
    <t>Watermelon</t>
  </si>
  <si>
    <t>3 escalones</t>
  </si>
  <si>
    <t>5 escalones</t>
  </si>
  <si>
    <t>7 escalones</t>
  </si>
  <si>
    <t>6 a 12 ecalones</t>
  </si>
  <si>
    <t>8 a 16 escalones</t>
  </si>
  <si>
    <t>9 a 18 escalones</t>
  </si>
  <si>
    <t>10 a 20 escalones</t>
  </si>
  <si>
    <t>12 a 24 escalones</t>
  </si>
  <si>
    <t>18 cm</t>
  </si>
  <si>
    <t>5 cm</t>
  </si>
  <si>
    <t>8 cm</t>
  </si>
  <si>
    <t>11 cm</t>
  </si>
  <si>
    <t>75 cm</t>
  </si>
  <si>
    <t>A4 70 gramos</t>
  </si>
  <si>
    <t>A4 80 gramos</t>
  </si>
  <si>
    <t>A4 90 gramos</t>
  </si>
  <si>
    <t>Oficio 80 gramos</t>
  </si>
  <si>
    <t>Carta 75 gramos</t>
  </si>
  <si>
    <t>Carta 80 gramos</t>
  </si>
  <si>
    <t>A4 Celeste 70 gramos</t>
  </si>
  <si>
    <t>A4 Rosa 70 gramos</t>
  </si>
  <si>
    <t>A4 Verde 70 gramos</t>
  </si>
  <si>
    <t>A4 110 gr 100 hojas</t>
  </si>
  <si>
    <t>A4 120 gr 100 hojas</t>
  </si>
  <si>
    <t>A4 130 gr 100 hojas</t>
  </si>
  <si>
    <t>A4 140 gr 100 hojas</t>
  </si>
  <si>
    <t>A4 160 gr 100 hojas</t>
  </si>
  <si>
    <t>A4 180 gr 100 hojas</t>
  </si>
  <si>
    <t>A4 200 gr 100 hojas</t>
  </si>
  <si>
    <t>A4 200 gr 20 hojas</t>
  </si>
  <si>
    <t>A3 200gr 20 hojas</t>
  </si>
  <si>
    <t>30 mts</t>
  </si>
  <si>
    <t>60 mts</t>
  </si>
  <si>
    <t>Azul</t>
  </si>
  <si>
    <t>Rosa</t>
  </si>
  <si>
    <t>Combinado</t>
  </si>
  <si>
    <t>Rallado</t>
  </si>
  <si>
    <t>Cuadriculado</t>
  </si>
  <si>
    <t>Liso</t>
  </si>
  <si>
    <t>Ocre</t>
  </si>
  <si>
    <t>Plata</t>
  </si>
  <si>
    <t>Verde Cemento</t>
  </si>
  <si>
    <t>Crema</t>
  </si>
  <si>
    <t>Rojo Teja</t>
  </si>
  <si>
    <t>Brikol</t>
  </si>
  <si>
    <t>Verde cemento</t>
  </si>
  <si>
    <t>7 kilos</t>
  </si>
  <si>
    <t>15 kilos</t>
  </si>
  <si>
    <t>32 kilos</t>
  </si>
  <si>
    <t>2,8 mts</t>
  </si>
  <si>
    <t>3,2 mts</t>
  </si>
  <si>
    <t>3,4 mts</t>
  </si>
  <si>
    <t>3,6 mts</t>
  </si>
  <si>
    <t>4 mts</t>
  </si>
  <si>
    <t>4,4 mts</t>
  </si>
  <si>
    <t>4,8 mts</t>
  </si>
  <si>
    <t>5,2 mts</t>
  </si>
  <si>
    <t>5,4 mts</t>
  </si>
  <si>
    <t>5,6 mts</t>
  </si>
  <si>
    <t>5,8 mts</t>
  </si>
  <si>
    <t>6mts</t>
  </si>
  <si>
    <t>6,2 mts</t>
  </si>
  <si>
    <t>6,4 mts</t>
  </si>
  <si>
    <t>6,6 mts</t>
  </si>
  <si>
    <t>6,8 mts</t>
  </si>
  <si>
    <t>9,5 mm x 1,20 mts x 2,40 mts</t>
  </si>
  <si>
    <t>9,5 mm x 1,20 mts x 2,60 mts</t>
  </si>
  <si>
    <t>9,5 mm x 1,20 mts x 3 mts</t>
  </si>
  <si>
    <t>12,5 mm x 1,20 mts x 2 mts</t>
  </si>
  <si>
    <t>12,5 mm x 1,20 mts x 2,40 mts</t>
  </si>
  <si>
    <t>12,5 mm x 1,20 mts x 2,60 mts</t>
  </si>
  <si>
    <t>12,5 mm x 1,20 mts x 3 mts</t>
  </si>
  <si>
    <t>15 mm x 1,20 mts x 2,40 mts</t>
  </si>
  <si>
    <t>15 mm x 1,20 mts x 2,60 mts</t>
  </si>
  <si>
    <t>15 mm x 1,20 mts x 3 mts</t>
  </si>
  <si>
    <t>8 mm x 1,20 mts x 2,40 mts</t>
  </si>
  <si>
    <t>10 mm x 1,20 mts x 2,40 mts</t>
  </si>
  <si>
    <t>35 mm x 28 mm x 2,60 mts</t>
  </si>
  <si>
    <t>70 mm x 28 mm x 2,60 mts</t>
  </si>
  <si>
    <t>100 mm x 28 mm x 2,60 mts</t>
  </si>
  <si>
    <t>34 mm x 35 mm x 30 mm</t>
  </si>
  <si>
    <t>69 mm x 35 mm x 30 mm</t>
  </si>
  <si>
    <t>99 mm x 35 mm x 30 mm</t>
  </si>
  <si>
    <t>10 mm x 12,5 mm x 30 mm</t>
  </si>
  <si>
    <t>10 mm x 13 mm x 35 mm</t>
  </si>
  <si>
    <t>31 mm x 31 mm x 2,60 mts</t>
  </si>
  <si>
    <t>20 mm x 25 mm x 2,60 mts</t>
  </si>
  <si>
    <t>20 mm x 25 mm x 3 mts</t>
  </si>
  <si>
    <t>1/2" (4mm x 13mm)</t>
  </si>
  <si>
    <t>3/4" (4mm x 19mm)</t>
  </si>
  <si>
    <t>1" (4mm x 25mm)</t>
  </si>
  <si>
    <t>3/4" (3,5mm x 19mm)</t>
  </si>
  <si>
    <t>1" (3,5mm x 25mm)</t>
  </si>
  <si>
    <t>1 1/8" (3,5mm x 28,5mm)</t>
  </si>
  <si>
    <t>1 1/2" (3,5mm x 38mm)</t>
  </si>
  <si>
    <t>N° 8 S-10 mm</t>
  </si>
  <si>
    <t>N° 8 M-20 mm</t>
  </si>
  <si>
    <t>N° 8 L-30 mm</t>
  </si>
  <si>
    <t>50mm x 23mts</t>
  </si>
  <si>
    <t>50mm x 35mts</t>
  </si>
  <si>
    <t>50mm x 75mts</t>
  </si>
  <si>
    <t>52mm x 76mts</t>
  </si>
  <si>
    <t>52mm x 80mts</t>
  </si>
  <si>
    <t>52mm x 120mts</t>
  </si>
  <si>
    <t>50mm x 20mts</t>
  </si>
  <si>
    <t>50mm x 45mts</t>
  </si>
  <si>
    <t>50mm x 50mts</t>
  </si>
  <si>
    <t>50mm x 90mts</t>
  </si>
  <si>
    <t>1,8 kg</t>
  </si>
  <si>
    <t>7 kg</t>
  </si>
  <si>
    <t>18 kg</t>
  </si>
  <si>
    <t>25 kg</t>
  </si>
  <si>
    <t>32 kg</t>
  </si>
  <si>
    <t>10 kg</t>
  </si>
  <si>
    <t>22 kg</t>
  </si>
  <si>
    <t>update productos set refreshimagen=concat('A',convert(id,char))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</si>
</sst>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Inconsolata"/>
    </font>
    <font>
      <u/>
      <color rgb="FF0000FF"/>
    </font>
    <font>
      <u/>
      <color rgb="FF0000FF"/>
    </font>
    <font>
      <u/>
      <color rgb="FF0563C1"/>
    </font>
    <font>
      <u/>
      <color rgb="FF0563C1"/>
      <name val="Calibri"/>
      <scheme val="minor"/>
    </font>
    <font>
      <sz val="11.0"/>
      <color theme="1"/>
      <name val="Calibri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6" numFmtId="0" xfId="0" applyFill="1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7" numFmtId="0" xfId="0" applyAlignment="1" applyFont="1">
      <alignment readingOrder="0"/>
    </xf>
    <xf borderId="0" fillId="3" fontId="6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8" numFmtId="0" xfId="0" applyAlignment="1" applyFont="1">
      <alignment readingOrder="0"/>
    </xf>
    <xf borderId="0" fillId="4" fontId="6" numFmtId="0" xfId="0" applyFont="1"/>
    <xf borderId="0" fillId="5" fontId="2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2" fontId="12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mg.quodom.com.ar/categorias/35.png" TargetMode="External"/><Relationship Id="rId42" Type="http://schemas.openxmlformats.org/officeDocument/2006/relationships/hyperlink" Target="http://img.quodom.com.ar/categorias/37.png" TargetMode="External"/><Relationship Id="rId41" Type="http://schemas.openxmlformats.org/officeDocument/2006/relationships/hyperlink" Target="http://img.quodom.com.ar/categorias/36.png" TargetMode="External"/><Relationship Id="rId44" Type="http://schemas.openxmlformats.org/officeDocument/2006/relationships/hyperlink" Target="http://img.quodom.com.ar/categorias/40.png" TargetMode="External"/><Relationship Id="rId43" Type="http://schemas.openxmlformats.org/officeDocument/2006/relationships/hyperlink" Target="http://img.quodom.com.ar/categorias/39.png" TargetMode="External"/><Relationship Id="rId46" Type="http://schemas.openxmlformats.org/officeDocument/2006/relationships/hyperlink" Target="http://img.quodom.com.ar/categorias/42.png" TargetMode="External"/><Relationship Id="rId45" Type="http://schemas.openxmlformats.org/officeDocument/2006/relationships/hyperlink" Target="http://img.quodom.com.ar/categorias/41.png" TargetMode="External"/><Relationship Id="rId1" Type="http://schemas.openxmlformats.org/officeDocument/2006/relationships/hyperlink" Target="http://img.quodom.com.ar/categorias/1.png" TargetMode="External"/><Relationship Id="rId2" Type="http://schemas.openxmlformats.org/officeDocument/2006/relationships/hyperlink" Target="http://img.quodom.com.ar/categorias/1g.png" TargetMode="External"/><Relationship Id="rId3" Type="http://schemas.openxmlformats.org/officeDocument/2006/relationships/hyperlink" Target="http://img.quodom.com.ar/categorias/2.png" TargetMode="External"/><Relationship Id="rId4" Type="http://schemas.openxmlformats.org/officeDocument/2006/relationships/hyperlink" Target="http://img.quodom.com.ar/categorias/2g.png" TargetMode="External"/><Relationship Id="rId9" Type="http://schemas.openxmlformats.org/officeDocument/2006/relationships/hyperlink" Target="http://img.quodom.com.ar/categorias/5.png" TargetMode="External"/><Relationship Id="rId48" Type="http://schemas.openxmlformats.org/officeDocument/2006/relationships/hyperlink" Target="http://img.quodom.com.ar/categorias/44.png" TargetMode="External"/><Relationship Id="rId47" Type="http://schemas.openxmlformats.org/officeDocument/2006/relationships/hyperlink" Target="http://img.quodom.com.ar/categorias/43.png" TargetMode="External"/><Relationship Id="rId49" Type="http://schemas.openxmlformats.org/officeDocument/2006/relationships/hyperlink" Target="http://img.quodom.com.ar/categorias/45.png" TargetMode="External"/><Relationship Id="rId5" Type="http://schemas.openxmlformats.org/officeDocument/2006/relationships/hyperlink" Target="http://img.quodom.com.ar/categorias/3.png" TargetMode="External"/><Relationship Id="rId6" Type="http://schemas.openxmlformats.org/officeDocument/2006/relationships/hyperlink" Target="http://img.quodom.com.ar/categorias/3g.png" TargetMode="External"/><Relationship Id="rId7" Type="http://schemas.openxmlformats.org/officeDocument/2006/relationships/hyperlink" Target="http://img.quodom.com.ar/categorias/4.png" TargetMode="External"/><Relationship Id="rId8" Type="http://schemas.openxmlformats.org/officeDocument/2006/relationships/hyperlink" Target="http://img.quodom.com.ar/categorias/4g.png" TargetMode="External"/><Relationship Id="rId31" Type="http://schemas.openxmlformats.org/officeDocument/2006/relationships/hyperlink" Target="http://img.quodom.com.ar/categorias/24.png" TargetMode="External"/><Relationship Id="rId30" Type="http://schemas.openxmlformats.org/officeDocument/2006/relationships/hyperlink" Target="http://img.quodom.com.ar/categorias/23.png" TargetMode="External"/><Relationship Id="rId33" Type="http://schemas.openxmlformats.org/officeDocument/2006/relationships/hyperlink" Target="http://img.quodom.com.ar/categorias/27.png" TargetMode="External"/><Relationship Id="rId32" Type="http://schemas.openxmlformats.org/officeDocument/2006/relationships/hyperlink" Target="http://img.quodom.com.ar/categorias/25.png" TargetMode="External"/><Relationship Id="rId35" Type="http://schemas.openxmlformats.org/officeDocument/2006/relationships/hyperlink" Target="http://img.quodom.com.ar/categorias/30.png" TargetMode="External"/><Relationship Id="rId34" Type="http://schemas.openxmlformats.org/officeDocument/2006/relationships/hyperlink" Target="http://img.quodom.com.ar/categorias/29.png" TargetMode="External"/><Relationship Id="rId37" Type="http://schemas.openxmlformats.org/officeDocument/2006/relationships/hyperlink" Target="http://img.quodom.com.ar/categorias/32.png" TargetMode="External"/><Relationship Id="rId36" Type="http://schemas.openxmlformats.org/officeDocument/2006/relationships/hyperlink" Target="http://img.quodom.com.ar/categorias/31.png" TargetMode="External"/><Relationship Id="rId39" Type="http://schemas.openxmlformats.org/officeDocument/2006/relationships/hyperlink" Target="http://img.quodom.com.ar/categorias/34.png" TargetMode="External"/><Relationship Id="rId38" Type="http://schemas.openxmlformats.org/officeDocument/2006/relationships/hyperlink" Target="http://img.quodom.com.ar/categorias/33.png" TargetMode="External"/><Relationship Id="rId62" Type="http://schemas.openxmlformats.org/officeDocument/2006/relationships/hyperlink" Target="http://img.quodom.com.ar/categorias/58.png" TargetMode="External"/><Relationship Id="rId61" Type="http://schemas.openxmlformats.org/officeDocument/2006/relationships/hyperlink" Target="http://img.quodom.com.ar/categorias/57.png" TargetMode="External"/><Relationship Id="rId20" Type="http://schemas.openxmlformats.org/officeDocument/2006/relationships/hyperlink" Target="http://img.quodom.com.ar/categorias/13.png" TargetMode="External"/><Relationship Id="rId64" Type="http://schemas.openxmlformats.org/officeDocument/2006/relationships/hyperlink" Target="http://img.quodom.com.ar/categorias/60.png" TargetMode="External"/><Relationship Id="rId63" Type="http://schemas.openxmlformats.org/officeDocument/2006/relationships/hyperlink" Target="http://img.quodom.com.ar/categorias/59.png" TargetMode="External"/><Relationship Id="rId22" Type="http://schemas.openxmlformats.org/officeDocument/2006/relationships/hyperlink" Target="http://img.quodom.com.ar/categorias/15.png" TargetMode="External"/><Relationship Id="rId66" Type="http://schemas.openxmlformats.org/officeDocument/2006/relationships/hyperlink" Target="http://img.quodom.com.ar/categorias/62.png" TargetMode="External"/><Relationship Id="rId21" Type="http://schemas.openxmlformats.org/officeDocument/2006/relationships/hyperlink" Target="http://img.quodom.com.ar/categorias/14.png" TargetMode="External"/><Relationship Id="rId65" Type="http://schemas.openxmlformats.org/officeDocument/2006/relationships/hyperlink" Target="http://img.quodom.com.ar/categorias/61.png" TargetMode="External"/><Relationship Id="rId24" Type="http://schemas.openxmlformats.org/officeDocument/2006/relationships/hyperlink" Target="http://img.quodom.com.ar/categorias/17.png" TargetMode="External"/><Relationship Id="rId23" Type="http://schemas.openxmlformats.org/officeDocument/2006/relationships/hyperlink" Target="http://img.quodom.com.ar/categorias/16.png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://img.quodom.com.ar/categorias/56.png" TargetMode="External"/><Relationship Id="rId26" Type="http://schemas.openxmlformats.org/officeDocument/2006/relationships/hyperlink" Target="http://img.quodom.com.ar/categorias/19.png" TargetMode="External"/><Relationship Id="rId25" Type="http://schemas.openxmlformats.org/officeDocument/2006/relationships/hyperlink" Target="http://img.quodom.com.ar/categorias/18.png" TargetMode="External"/><Relationship Id="rId28" Type="http://schemas.openxmlformats.org/officeDocument/2006/relationships/hyperlink" Target="http://img.quodom.com.ar/categorias/21.png" TargetMode="External"/><Relationship Id="rId27" Type="http://schemas.openxmlformats.org/officeDocument/2006/relationships/hyperlink" Target="http://img.quodom.com.ar/categorias/20.png" TargetMode="External"/><Relationship Id="rId29" Type="http://schemas.openxmlformats.org/officeDocument/2006/relationships/hyperlink" Target="http://img.quodom.com.ar/categorias/22.png" TargetMode="External"/><Relationship Id="rId51" Type="http://schemas.openxmlformats.org/officeDocument/2006/relationships/hyperlink" Target="http://img.quodom.com.ar/categorias/47.png" TargetMode="External"/><Relationship Id="rId50" Type="http://schemas.openxmlformats.org/officeDocument/2006/relationships/hyperlink" Target="http://img.quodom.com.ar/categorias/46.png" TargetMode="External"/><Relationship Id="rId53" Type="http://schemas.openxmlformats.org/officeDocument/2006/relationships/hyperlink" Target="http://img.quodom.com.ar/categorias/49.png" TargetMode="External"/><Relationship Id="rId52" Type="http://schemas.openxmlformats.org/officeDocument/2006/relationships/hyperlink" Target="http://img.quodom.com.ar/categorias/48.png" TargetMode="External"/><Relationship Id="rId11" Type="http://schemas.openxmlformats.org/officeDocument/2006/relationships/hyperlink" Target="http://img.quodom.com.ar/categorias/6.png" TargetMode="External"/><Relationship Id="rId55" Type="http://schemas.openxmlformats.org/officeDocument/2006/relationships/hyperlink" Target="http://img.quodom.com.ar/categorias/51.png" TargetMode="External"/><Relationship Id="rId10" Type="http://schemas.openxmlformats.org/officeDocument/2006/relationships/hyperlink" Target="http://img.quodom.com.ar/categorias/5g.png" TargetMode="External"/><Relationship Id="rId54" Type="http://schemas.openxmlformats.org/officeDocument/2006/relationships/hyperlink" Target="http://img.quodom.com.ar/categorias/50.png" TargetMode="External"/><Relationship Id="rId13" Type="http://schemas.openxmlformats.org/officeDocument/2006/relationships/hyperlink" Target="http://img.quodom.com.ar/categorias/7.png" TargetMode="External"/><Relationship Id="rId57" Type="http://schemas.openxmlformats.org/officeDocument/2006/relationships/hyperlink" Target="http://img.quodom.com.ar/categorias/53.png" TargetMode="External"/><Relationship Id="rId12" Type="http://schemas.openxmlformats.org/officeDocument/2006/relationships/hyperlink" Target="http://img.quodom.com.ar/categorias/6g.png" TargetMode="External"/><Relationship Id="rId56" Type="http://schemas.openxmlformats.org/officeDocument/2006/relationships/hyperlink" Target="http://img.quodom.com.ar/categorias/52.png" TargetMode="External"/><Relationship Id="rId15" Type="http://schemas.openxmlformats.org/officeDocument/2006/relationships/hyperlink" Target="http://img.quodom.com.ar/categorias/8.png" TargetMode="External"/><Relationship Id="rId59" Type="http://schemas.openxmlformats.org/officeDocument/2006/relationships/hyperlink" Target="http://img.quodom.com.ar/categorias/55.png" TargetMode="External"/><Relationship Id="rId14" Type="http://schemas.openxmlformats.org/officeDocument/2006/relationships/hyperlink" Target="http://img.quodom.com.ar/categorias/7g.png" TargetMode="External"/><Relationship Id="rId58" Type="http://schemas.openxmlformats.org/officeDocument/2006/relationships/hyperlink" Target="http://img.quodom.com.ar/categorias/54.png" TargetMode="External"/><Relationship Id="rId17" Type="http://schemas.openxmlformats.org/officeDocument/2006/relationships/hyperlink" Target="http://img.quodom.com.ar/categorias/9.png" TargetMode="External"/><Relationship Id="rId16" Type="http://schemas.openxmlformats.org/officeDocument/2006/relationships/hyperlink" Target="http://img.quodom.com.ar/categorias/8g.png" TargetMode="External"/><Relationship Id="rId19" Type="http://schemas.openxmlformats.org/officeDocument/2006/relationships/hyperlink" Target="http://img.quodom.com.ar/categorias/12.png" TargetMode="External"/><Relationship Id="rId18" Type="http://schemas.openxmlformats.org/officeDocument/2006/relationships/hyperlink" Target="http://img.quodom.com.ar/categorias/10.png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img.quodom.com.ar/producto/212.png" TargetMode="External"/><Relationship Id="rId194" Type="http://schemas.openxmlformats.org/officeDocument/2006/relationships/hyperlink" Target="https://img.quodom.com.ar/producto/216.png" TargetMode="External"/><Relationship Id="rId193" Type="http://schemas.openxmlformats.org/officeDocument/2006/relationships/hyperlink" Target="https://img.quodom.com.ar/producto/215.png" TargetMode="External"/><Relationship Id="rId192" Type="http://schemas.openxmlformats.org/officeDocument/2006/relationships/hyperlink" Target="https://img.quodom.com.ar/producto/214.png" TargetMode="External"/><Relationship Id="rId191" Type="http://schemas.openxmlformats.org/officeDocument/2006/relationships/hyperlink" Target="https://img.quodom.com.ar/producto/213.png" TargetMode="External"/><Relationship Id="rId187" Type="http://schemas.openxmlformats.org/officeDocument/2006/relationships/hyperlink" Target="https://img.quodom.com.ar/producto/209.png" TargetMode="External"/><Relationship Id="rId186" Type="http://schemas.openxmlformats.org/officeDocument/2006/relationships/hyperlink" Target="https://img.quodom.com.ar/producto/208.png" TargetMode="External"/><Relationship Id="rId185" Type="http://schemas.openxmlformats.org/officeDocument/2006/relationships/hyperlink" Target="https://img.quodom.com.ar/producto/207.png" TargetMode="External"/><Relationship Id="rId184" Type="http://schemas.openxmlformats.org/officeDocument/2006/relationships/hyperlink" Target="https://img.quodom.com.ar/producto/206.png" TargetMode="External"/><Relationship Id="rId189" Type="http://schemas.openxmlformats.org/officeDocument/2006/relationships/hyperlink" Target="https://img.quodom.com.ar/producto/211.png" TargetMode="External"/><Relationship Id="rId188" Type="http://schemas.openxmlformats.org/officeDocument/2006/relationships/hyperlink" Target="https://img.quodom.com.ar/producto/210.png" TargetMode="External"/><Relationship Id="rId183" Type="http://schemas.openxmlformats.org/officeDocument/2006/relationships/hyperlink" Target="https://img.quodom.com.ar/producto/205.png" TargetMode="External"/><Relationship Id="rId182" Type="http://schemas.openxmlformats.org/officeDocument/2006/relationships/hyperlink" Target="https://img.quodom.com.ar/producto/204.png" TargetMode="External"/><Relationship Id="rId181" Type="http://schemas.openxmlformats.org/officeDocument/2006/relationships/hyperlink" Target="https://img.quodom.com.ar/producto/203.png" TargetMode="External"/><Relationship Id="rId180" Type="http://schemas.openxmlformats.org/officeDocument/2006/relationships/hyperlink" Target="https://img.quodom.com.ar/producto/202.png" TargetMode="External"/><Relationship Id="rId176" Type="http://schemas.openxmlformats.org/officeDocument/2006/relationships/hyperlink" Target="https://img.quodom.com.ar/producto/197.png" TargetMode="External"/><Relationship Id="rId297" Type="http://schemas.openxmlformats.org/officeDocument/2006/relationships/hyperlink" Target="https://img.quodom.com.ar/producto/473.png" TargetMode="External"/><Relationship Id="rId175" Type="http://schemas.openxmlformats.org/officeDocument/2006/relationships/hyperlink" Target="https://img.quodom.com.ar/producto/196.png" TargetMode="External"/><Relationship Id="rId296" Type="http://schemas.openxmlformats.org/officeDocument/2006/relationships/hyperlink" Target="https://img.quodom.com.ar/producto/472.png" TargetMode="External"/><Relationship Id="rId174" Type="http://schemas.openxmlformats.org/officeDocument/2006/relationships/hyperlink" Target="https://img.quodom.com.ar/producto/195.png" TargetMode="External"/><Relationship Id="rId295" Type="http://schemas.openxmlformats.org/officeDocument/2006/relationships/hyperlink" Target="https://img.quodom.com.ar/producto/471.png" TargetMode="External"/><Relationship Id="rId173" Type="http://schemas.openxmlformats.org/officeDocument/2006/relationships/hyperlink" Target="https://img.quodom.com.ar/producto/194.png" TargetMode="External"/><Relationship Id="rId294" Type="http://schemas.openxmlformats.org/officeDocument/2006/relationships/hyperlink" Target="https://img.quodom.com.ar/producto/470.png" TargetMode="External"/><Relationship Id="rId179" Type="http://schemas.openxmlformats.org/officeDocument/2006/relationships/hyperlink" Target="https://img.quodom.com.ar/producto/201.png" TargetMode="External"/><Relationship Id="rId178" Type="http://schemas.openxmlformats.org/officeDocument/2006/relationships/hyperlink" Target="https://img.quodom.com.ar/producto/200.png" TargetMode="External"/><Relationship Id="rId299" Type="http://schemas.openxmlformats.org/officeDocument/2006/relationships/hyperlink" Target="https://img.quodom.com.ar/producto/475.png" TargetMode="External"/><Relationship Id="rId177" Type="http://schemas.openxmlformats.org/officeDocument/2006/relationships/hyperlink" Target="https://img.quodom.com.ar/producto/198.png" TargetMode="External"/><Relationship Id="rId298" Type="http://schemas.openxmlformats.org/officeDocument/2006/relationships/hyperlink" Target="https://img.quodom.com.ar/producto/474.png" TargetMode="External"/><Relationship Id="rId198" Type="http://schemas.openxmlformats.org/officeDocument/2006/relationships/hyperlink" Target="https://img.quodom.com.ar/producto/220.png" TargetMode="External"/><Relationship Id="rId197" Type="http://schemas.openxmlformats.org/officeDocument/2006/relationships/hyperlink" Target="https://img.quodom.com.ar/producto/219.png" TargetMode="External"/><Relationship Id="rId196" Type="http://schemas.openxmlformats.org/officeDocument/2006/relationships/hyperlink" Target="https://img.quodom.com.ar/producto/218.png" TargetMode="External"/><Relationship Id="rId195" Type="http://schemas.openxmlformats.org/officeDocument/2006/relationships/hyperlink" Target="https://img.quodom.com.ar/producto/217.png" TargetMode="External"/><Relationship Id="rId199" Type="http://schemas.openxmlformats.org/officeDocument/2006/relationships/hyperlink" Target="https://img.quodom.com.ar/producto/221.png" TargetMode="External"/><Relationship Id="rId150" Type="http://schemas.openxmlformats.org/officeDocument/2006/relationships/hyperlink" Target="https://img.quodom.com.ar/producto/156.png" TargetMode="External"/><Relationship Id="rId271" Type="http://schemas.openxmlformats.org/officeDocument/2006/relationships/hyperlink" Target="https://img.quodom.com.ar/producto/447.png" TargetMode="External"/><Relationship Id="rId392" Type="http://schemas.openxmlformats.org/officeDocument/2006/relationships/hyperlink" Target="https://img.quodom.com.ar/producto/568.png" TargetMode="External"/><Relationship Id="rId270" Type="http://schemas.openxmlformats.org/officeDocument/2006/relationships/hyperlink" Target="https://img.quodom.com.ar/producto/446.png" TargetMode="External"/><Relationship Id="rId391" Type="http://schemas.openxmlformats.org/officeDocument/2006/relationships/hyperlink" Target="https://img.quodom.com.ar/producto/567.png" TargetMode="External"/><Relationship Id="rId390" Type="http://schemas.openxmlformats.org/officeDocument/2006/relationships/hyperlink" Target="https://img.quodom.com.ar/producto/566.p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img.quodom.com.ar/producto/1.png" TargetMode="External"/><Relationship Id="rId3" Type="http://schemas.openxmlformats.org/officeDocument/2006/relationships/hyperlink" Target="https://img.quodom.com.ar/producto/2.png" TargetMode="External"/><Relationship Id="rId149" Type="http://schemas.openxmlformats.org/officeDocument/2006/relationships/hyperlink" Target="https://img.quodom.com.ar/producto/155.png" TargetMode="External"/><Relationship Id="rId4" Type="http://schemas.openxmlformats.org/officeDocument/2006/relationships/hyperlink" Target="https://img.quodom.com.ar/producto/3.png" TargetMode="External"/><Relationship Id="rId148" Type="http://schemas.openxmlformats.org/officeDocument/2006/relationships/hyperlink" Target="https://img.quodom.com.ar/producto/154.png" TargetMode="External"/><Relationship Id="rId269" Type="http://schemas.openxmlformats.org/officeDocument/2006/relationships/hyperlink" Target="https://img.quodom.com.ar/producto/445.png" TargetMode="External"/><Relationship Id="rId9" Type="http://schemas.openxmlformats.org/officeDocument/2006/relationships/hyperlink" Target="https://img.quodom.com.ar/producto/8.png" TargetMode="External"/><Relationship Id="rId143" Type="http://schemas.openxmlformats.org/officeDocument/2006/relationships/hyperlink" Target="https://img.quodom.com.ar/producto/149.png" TargetMode="External"/><Relationship Id="rId264" Type="http://schemas.openxmlformats.org/officeDocument/2006/relationships/hyperlink" Target="https://img.quodom.com.ar/producto/439.png" TargetMode="External"/><Relationship Id="rId385" Type="http://schemas.openxmlformats.org/officeDocument/2006/relationships/hyperlink" Target="https://img.quodom.com.ar/producto/561.png" TargetMode="External"/><Relationship Id="rId142" Type="http://schemas.openxmlformats.org/officeDocument/2006/relationships/hyperlink" Target="https://img.quodom.com.ar/producto/148.png" TargetMode="External"/><Relationship Id="rId263" Type="http://schemas.openxmlformats.org/officeDocument/2006/relationships/hyperlink" Target="https://img.quodom.com.ar/producto/438.png" TargetMode="External"/><Relationship Id="rId384" Type="http://schemas.openxmlformats.org/officeDocument/2006/relationships/hyperlink" Target="https://img.quodom.com.ar/producto/560.png" TargetMode="External"/><Relationship Id="rId141" Type="http://schemas.openxmlformats.org/officeDocument/2006/relationships/hyperlink" Target="https://img.quodom.com.ar/producto/147.png" TargetMode="External"/><Relationship Id="rId262" Type="http://schemas.openxmlformats.org/officeDocument/2006/relationships/hyperlink" Target="https://img.quodom.com.ar/producto/436.png" TargetMode="External"/><Relationship Id="rId383" Type="http://schemas.openxmlformats.org/officeDocument/2006/relationships/hyperlink" Target="https://img.quodom.com.ar/producto/559.png" TargetMode="External"/><Relationship Id="rId140" Type="http://schemas.openxmlformats.org/officeDocument/2006/relationships/hyperlink" Target="https://img.quodom.com.ar/producto/146.png" TargetMode="External"/><Relationship Id="rId261" Type="http://schemas.openxmlformats.org/officeDocument/2006/relationships/hyperlink" Target="https://img.quodom.com.ar/producto/434.png" TargetMode="External"/><Relationship Id="rId382" Type="http://schemas.openxmlformats.org/officeDocument/2006/relationships/hyperlink" Target="https://img.quodom.com.ar/producto/558.png" TargetMode="External"/><Relationship Id="rId5" Type="http://schemas.openxmlformats.org/officeDocument/2006/relationships/hyperlink" Target="https://img.quodom.com.ar/producto/4.png" TargetMode="External"/><Relationship Id="rId147" Type="http://schemas.openxmlformats.org/officeDocument/2006/relationships/hyperlink" Target="https://img.quodom.com.ar/producto/153.png" TargetMode="External"/><Relationship Id="rId268" Type="http://schemas.openxmlformats.org/officeDocument/2006/relationships/hyperlink" Target="https://img.quodom.com.ar/producto/444.png" TargetMode="External"/><Relationship Id="rId389" Type="http://schemas.openxmlformats.org/officeDocument/2006/relationships/hyperlink" Target="https://img.quodom.com.ar/producto/565.png" TargetMode="External"/><Relationship Id="rId6" Type="http://schemas.openxmlformats.org/officeDocument/2006/relationships/hyperlink" Target="https://img.quodom.com.ar/producto/5.png" TargetMode="External"/><Relationship Id="rId146" Type="http://schemas.openxmlformats.org/officeDocument/2006/relationships/hyperlink" Target="https://img.quodom.com.ar/producto/152.png" TargetMode="External"/><Relationship Id="rId267" Type="http://schemas.openxmlformats.org/officeDocument/2006/relationships/hyperlink" Target="https://img.quodom.com.ar/producto/443.png" TargetMode="External"/><Relationship Id="rId388" Type="http://schemas.openxmlformats.org/officeDocument/2006/relationships/hyperlink" Target="https://img.quodom.com.ar/producto/564.png" TargetMode="External"/><Relationship Id="rId7" Type="http://schemas.openxmlformats.org/officeDocument/2006/relationships/hyperlink" Target="https://img.quodom.com.ar/producto/6.png" TargetMode="External"/><Relationship Id="rId145" Type="http://schemas.openxmlformats.org/officeDocument/2006/relationships/hyperlink" Target="https://img.quodom.com.ar/producto/151.png" TargetMode="External"/><Relationship Id="rId266" Type="http://schemas.openxmlformats.org/officeDocument/2006/relationships/hyperlink" Target="https://img.quodom.com.ar/producto/442.png" TargetMode="External"/><Relationship Id="rId387" Type="http://schemas.openxmlformats.org/officeDocument/2006/relationships/hyperlink" Target="https://img.quodom.com.ar/producto/563.png" TargetMode="External"/><Relationship Id="rId8" Type="http://schemas.openxmlformats.org/officeDocument/2006/relationships/hyperlink" Target="https://img.quodom.com.ar/producto/7.png" TargetMode="External"/><Relationship Id="rId144" Type="http://schemas.openxmlformats.org/officeDocument/2006/relationships/hyperlink" Target="https://img.quodom.com.ar/producto/150.png" TargetMode="External"/><Relationship Id="rId265" Type="http://schemas.openxmlformats.org/officeDocument/2006/relationships/hyperlink" Target="https://img.quodom.com.ar/producto/441.png" TargetMode="External"/><Relationship Id="rId386" Type="http://schemas.openxmlformats.org/officeDocument/2006/relationships/hyperlink" Target="https://img.quodom.com.ar/producto/562.png" TargetMode="External"/><Relationship Id="rId260" Type="http://schemas.openxmlformats.org/officeDocument/2006/relationships/hyperlink" Target="https://img.quodom.com.ar/producto/433.png" TargetMode="External"/><Relationship Id="rId381" Type="http://schemas.openxmlformats.org/officeDocument/2006/relationships/hyperlink" Target="https://img.quodom.com.ar/producto/557.png" TargetMode="External"/><Relationship Id="rId380" Type="http://schemas.openxmlformats.org/officeDocument/2006/relationships/hyperlink" Target="https://img.quodom.com.ar/producto/556.png" TargetMode="External"/><Relationship Id="rId139" Type="http://schemas.openxmlformats.org/officeDocument/2006/relationships/hyperlink" Target="https://img.quodom.com.ar/producto/145.png" TargetMode="External"/><Relationship Id="rId138" Type="http://schemas.openxmlformats.org/officeDocument/2006/relationships/hyperlink" Target="https://img.quodom.com.ar/producto/144.png" TargetMode="External"/><Relationship Id="rId259" Type="http://schemas.openxmlformats.org/officeDocument/2006/relationships/hyperlink" Target="https://img.quodom.com.ar/producto/432.png" TargetMode="External"/><Relationship Id="rId137" Type="http://schemas.openxmlformats.org/officeDocument/2006/relationships/hyperlink" Target="https://img.quodom.com.ar/producto/143.png" TargetMode="External"/><Relationship Id="rId258" Type="http://schemas.openxmlformats.org/officeDocument/2006/relationships/hyperlink" Target="https://img.quodom.com.ar/producto/431.png" TargetMode="External"/><Relationship Id="rId379" Type="http://schemas.openxmlformats.org/officeDocument/2006/relationships/hyperlink" Target="https://img.quodom.com.ar/producto/555.png" TargetMode="External"/><Relationship Id="rId132" Type="http://schemas.openxmlformats.org/officeDocument/2006/relationships/hyperlink" Target="https://img.quodom.com.ar/producto/138.png" TargetMode="External"/><Relationship Id="rId253" Type="http://schemas.openxmlformats.org/officeDocument/2006/relationships/hyperlink" Target="https://img.quodom.com.ar/producto/422.png" TargetMode="External"/><Relationship Id="rId374" Type="http://schemas.openxmlformats.org/officeDocument/2006/relationships/hyperlink" Target="https://img.quodom.com.ar/producto/550.png" TargetMode="External"/><Relationship Id="rId495" Type="http://schemas.openxmlformats.org/officeDocument/2006/relationships/hyperlink" Target="https://img.quodom.com.ar/producto/672.png" TargetMode="External"/><Relationship Id="rId131" Type="http://schemas.openxmlformats.org/officeDocument/2006/relationships/hyperlink" Target="https://img.quodom.com.ar/producto/137.png" TargetMode="External"/><Relationship Id="rId252" Type="http://schemas.openxmlformats.org/officeDocument/2006/relationships/hyperlink" Target="https://img.quodom.com.ar/producto/421.png" TargetMode="External"/><Relationship Id="rId373" Type="http://schemas.openxmlformats.org/officeDocument/2006/relationships/hyperlink" Target="https://img.quodom.com.ar/producto/549.png" TargetMode="External"/><Relationship Id="rId494" Type="http://schemas.openxmlformats.org/officeDocument/2006/relationships/hyperlink" Target="https://img.quodom.com.ar/producto/671.png" TargetMode="External"/><Relationship Id="rId130" Type="http://schemas.openxmlformats.org/officeDocument/2006/relationships/hyperlink" Target="https://img.quodom.com.ar/producto/136.png" TargetMode="External"/><Relationship Id="rId251" Type="http://schemas.openxmlformats.org/officeDocument/2006/relationships/hyperlink" Target="https://img.quodom.com.ar/producto/418.png" TargetMode="External"/><Relationship Id="rId372" Type="http://schemas.openxmlformats.org/officeDocument/2006/relationships/hyperlink" Target="https://img.quodom.com.ar/producto/548.png" TargetMode="External"/><Relationship Id="rId493" Type="http://schemas.openxmlformats.org/officeDocument/2006/relationships/hyperlink" Target="https://img.quodom.com.ar/producto/670.png" TargetMode="External"/><Relationship Id="rId250" Type="http://schemas.openxmlformats.org/officeDocument/2006/relationships/hyperlink" Target="https://img.quodom.com.ar/producto/416.png" TargetMode="External"/><Relationship Id="rId371" Type="http://schemas.openxmlformats.org/officeDocument/2006/relationships/hyperlink" Target="https://img.quodom.com.ar/producto/547.png" TargetMode="External"/><Relationship Id="rId492" Type="http://schemas.openxmlformats.org/officeDocument/2006/relationships/hyperlink" Target="https://img.quodom.com.ar/producto/669.png" TargetMode="External"/><Relationship Id="rId136" Type="http://schemas.openxmlformats.org/officeDocument/2006/relationships/hyperlink" Target="https://img.quodom.com.ar/producto/142.png" TargetMode="External"/><Relationship Id="rId257" Type="http://schemas.openxmlformats.org/officeDocument/2006/relationships/hyperlink" Target="https://img.quodom.com.ar/producto/430.png" TargetMode="External"/><Relationship Id="rId378" Type="http://schemas.openxmlformats.org/officeDocument/2006/relationships/hyperlink" Target="https://img.quodom.com.ar/producto/554.png" TargetMode="External"/><Relationship Id="rId499" Type="http://schemas.openxmlformats.org/officeDocument/2006/relationships/hyperlink" Target="https://img.quodom.com.ar/producto/676.png" TargetMode="External"/><Relationship Id="rId135" Type="http://schemas.openxmlformats.org/officeDocument/2006/relationships/hyperlink" Target="https://img.quodom.com.ar/producto/141.png" TargetMode="External"/><Relationship Id="rId256" Type="http://schemas.openxmlformats.org/officeDocument/2006/relationships/hyperlink" Target="https://img.quodom.com.ar/producto/428.png" TargetMode="External"/><Relationship Id="rId377" Type="http://schemas.openxmlformats.org/officeDocument/2006/relationships/hyperlink" Target="https://img.quodom.com.ar/producto/553.png" TargetMode="External"/><Relationship Id="rId498" Type="http://schemas.openxmlformats.org/officeDocument/2006/relationships/hyperlink" Target="https://img.quodom.com.ar/producto/675.png" TargetMode="External"/><Relationship Id="rId134" Type="http://schemas.openxmlformats.org/officeDocument/2006/relationships/hyperlink" Target="https://img.quodom.com.ar/producto/140.png" TargetMode="External"/><Relationship Id="rId255" Type="http://schemas.openxmlformats.org/officeDocument/2006/relationships/hyperlink" Target="https://img.quodom.com.ar/producto/426.png" TargetMode="External"/><Relationship Id="rId376" Type="http://schemas.openxmlformats.org/officeDocument/2006/relationships/hyperlink" Target="https://img.quodom.com.ar/producto/552.png" TargetMode="External"/><Relationship Id="rId497" Type="http://schemas.openxmlformats.org/officeDocument/2006/relationships/hyperlink" Target="https://img.quodom.com.ar/producto/674.png" TargetMode="External"/><Relationship Id="rId133" Type="http://schemas.openxmlformats.org/officeDocument/2006/relationships/hyperlink" Target="https://img.quodom.com.ar/producto/139.png" TargetMode="External"/><Relationship Id="rId254" Type="http://schemas.openxmlformats.org/officeDocument/2006/relationships/hyperlink" Target="https://img.quodom.com.ar/producto/423.png" TargetMode="External"/><Relationship Id="rId375" Type="http://schemas.openxmlformats.org/officeDocument/2006/relationships/hyperlink" Target="https://img.quodom.com.ar/producto/551.png" TargetMode="External"/><Relationship Id="rId496" Type="http://schemas.openxmlformats.org/officeDocument/2006/relationships/hyperlink" Target="https://img.quodom.com.ar/producto/673.png" TargetMode="External"/><Relationship Id="rId172" Type="http://schemas.openxmlformats.org/officeDocument/2006/relationships/hyperlink" Target="https://img.quodom.com.ar/producto/193.png" TargetMode="External"/><Relationship Id="rId293" Type="http://schemas.openxmlformats.org/officeDocument/2006/relationships/hyperlink" Target="https://img.quodom.com.ar/producto/469.png" TargetMode="External"/><Relationship Id="rId171" Type="http://schemas.openxmlformats.org/officeDocument/2006/relationships/hyperlink" Target="https://img.quodom.com.ar/producto/192.png" TargetMode="External"/><Relationship Id="rId292" Type="http://schemas.openxmlformats.org/officeDocument/2006/relationships/hyperlink" Target="https://img.quodom.com.ar/producto/468.png" TargetMode="External"/><Relationship Id="rId170" Type="http://schemas.openxmlformats.org/officeDocument/2006/relationships/hyperlink" Target="https://img.quodom.com.ar/producto/190.png" TargetMode="External"/><Relationship Id="rId291" Type="http://schemas.openxmlformats.org/officeDocument/2006/relationships/hyperlink" Target="https://img.quodom.com.ar/producto/467.png" TargetMode="External"/><Relationship Id="rId290" Type="http://schemas.openxmlformats.org/officeDocument/2006/relationships/hyperlink" Target="https://img.quodom.com.ar/producto/466.png" TargetMode="External"/><Relationship Id="rId165" Type="http://schemas.openxmlformats.org/officeDocument/2006/relationships/hyperlink" Target="https://img.quodom.com.ar/producto/185.png" TargetMode="External"/><Relationship Id="rId286" Type="http://schemas.openxmlformats.org/officeDocument/2006/relationships/hyperlink" Target="https://img.quodom.com.ar/producto/462.png" TargetMode="External"/><Relationship Id="rId164" Type="http://schemas.openxmlformats.org/officeDocument/2006/relationships/hyperlink" Target="https://img.quodom.com.ar/producto/184.png" TargetMode="External"/><Relationship Id="rId285" Type="http://schemas.openxmlformats.org/officeDocument/2006/relationships/hyperlink" Target="https://img.quodom.com.ar/producto/461.png" TargetMode="External"/><Relationship Id="rId163" Type="http://schemas.openxmlformats.org/officeDocument/2006/relationships/hyperlink" Target="https://img.quodom.com.ar/producto/183.png" TargetMode="External"/><Relationship Id="rId284" Type="http://schemas.openxmlformats.org/officeDocument/2006/relationships/hyperlink" Target="https://img.quodom.com.ar/producto/460.png" TargetMode="External"/><Relationship Id="rId162" Type="http://schemas.openxmlformats.org/officeDocument/2006/relationships/hyperlink" Target="https://img.quodom.com.ar/producto/182.png" TargetMode="External"/><Relationship Id="rId283" Type="http://schemas.openxmlformats.org/officeDocument/2006/relationships/hyperlink" Target="https://img.quodom.com.ar/producto/459.png" TargetMode="External"/><Relationship Id="rId169" Type="http://schemas.openxmlformats.org/officeDocument/2006/relationships/hyperlink" Target="https://img.quodom.com.ar/producto/189.png" TargetMode="External"/><Relationship Id="rId168" Type="http://schemas.openxmlformats.org/officeDocument/2006/relationships/hyperlink" Target="https://img.quodom.com.ar/producto/188.png" TargetMode="External"/><Relationship Id="rId289" Type="http://schemas.openxmlformats.org/officeDocument/2006/relationships/hyperlink" Target="https://img.quodom.com.ar/producto/465.png" TargetMode="External"/><Relationship Id="rId167" Type="http://schemas.openxmlformats.org/officeDocument/2006/relationships/hyperlink" Target="https://img.quodom.com.ar/producto/187.png" TargetMode="External"/><Relationship Id="rId288" Type="http://schemas.openxmlformats.org/officeDocument/2006/relationships/hyperlink" Target="https://img.quodom.com.ar/producto/464.png" TargetMode="External"/><Relationship Id="rId166" Type="http://schemas.openxmlformats.org/officeDocument/2006/relationships/hyperlink" Target="https://img.quodom.com.ar/producto/186.png" TargetMode="External"/><Relationship Id="rId287" Type="http://schemas.openxmlformats.org/officeDocument/2006/relationships/hyperlink" Target="https://img.quodom.com.ar/producto/463.png" TargetMode="External"/><Relationship Id="rId161" Type="http://schemas.openxmlformats.org/officeDocument/2006/relationships/hyperlink" Target="https://img.quodom.com.ar/producto/181.png" TargetMode="External"/><Relationship Id="rId282" Type="http://schemas.openxmlformats.org/officeDocument/2006/relationships/hyperlink" Target="https://img.quodom.com.ar/producto/458.png" TargetMode="External"/><Relationship Id="rId160" Type="http://schemas.openxmlformats.org/officeDocument/2006/relationships/hyperlink" Target="https://img.quodom.com.ar/producto/166.png" TargetMode="External"/><Relationship Id="rId281" Type="http://schemas.openxmlformats.org/officeDocument/2006/relationships/hyperlink" Target="https://img.quodom.com.ar/producto/457.png" TargetMode="External"/><Relationship Id="rId280" Type="http://schemas.openxmlformats.org/officeDocument/2006/relationships/hyperlink" Target="https://img.quodom.com.ar/producto/456.png" TargetMode="External"/><Relationship Id="rId159" Type="http://schemas.openxmlformats.org/officeDocument/2006/relationships/hyperlink" Target="https://img.quodom.com.ar/producto/165.png" TargetMode="External"/><Relationship Id="rId154" Type="http://schemas.openxmlformats.org/officeDocument/2006/relationships/hyperlink" Target="https://img.quodom.com.ar/producto/160.png" TargetMode="External"/><Relationship Id="rId275" Type="http://schemas.openxmlformats.org/officeDocument/2006/relationships/hyperlink" Target="https://img.quodom.com.ar/producto/451.png" TargetMode="External"/><Relationship Id="rId396" Type="http://schemas.openxmlformats.org/officeDocument/2006/relationships/hyperlink" Target="https://img.quodom.com.ar/producto/572.png" TargetMode="External"/><Relationship Id="rId153" Type="http://schemas.openxmlformats.org/officeDocument/2006/relationships/hyperlink" Target="https://img.quodom.com.ar/producto/159.png" TargetMode="External"/><Relationship Id="rId274" Type="http://schemas.openxmlformats.org/officeDocument/2006/relationships/hyperlink" Target="https://img.quodom.com.ar/producto/450.png" TargetMode="External"/><Relationship Id="rId395" Type="http://schemas.openxmlformats.org/officeDocument/2006/relationships/hyperlink" Target="https://img.quodom.com.ar/producto/571.png" TargetMode="External"/><Relationship Id="rId152" Type="http://schemas.openxmlformats.org/officeDocument/2006/relationships/hyperlink" Target="https://img.quodom.com.ar/producto/158.png" TargetMode="External"/><Relationship Id="rId273" Type="http://schemas.openxmlformats.org/officeDocument/2006/relationships/hyperlink" Target="https://img.quodom.com.ar/producto/449.png" TargetMode="External"/><Relationship Id="rId394" Type="http://schemas.openxmlformats.org/officeDocument/2006/relationships/hyperlink" Target="https://img.quodom.com.ar/producto/570.png" TargetMode="External"/><Relationship Id="rId151" Type="http://schemas.openxmlformats.org/officeDocument/2006/relationships/hyperlink" Target="https://img.quodom.com.ar/producto/157.png" TargetMode="External"/><Relationship Id="rId272" Type="http://schemas.openxmlformats.org/officeDocument/2006/relationships/hyperlink" Target="https://img.quodom.com.ar/producto/448.png" TargetMode="External"/><Relationship Id="rId393" Type="http://schemas.openxmlformats.org/officeDocument/2006/relationships/hyperlink" Target="https://img.quodom.com.ar/producto/569.png" TargetMode="External"/><Relationship Id="rId158" Type="http://schemas.openxmlformats.org/officeDocument/2006/relationships/hyperlink" Target="https://img.quodom.com.ar/producto/164.png" TargetMode="External"/><Relationship Id="rId279" Type="http://schemas.openxmlformats.org/officeDocument/2006/relationships/hyperlink" Target="https://img.quodom.com.ar/producto/455.png" TargetMode="External"/><Relationship Id="rId157" Type="http://schemas.openxmlformats.org/officeDocument/2006/relationships/hyperlink" Target="https://img.quodom.com.ar/producto/163.png" TargetMode="External"/><Relationship Id="rId278" Type="http://schemas.openxmlformats.org/officeDocument/2006/relationships/hyperlink" Target="https://img.quodom.com.ar/producto/454.png" TargetMode="External"/><Relationship Id="rId399" Type="http://schemas.openxmlformats.org/officeDocument/2006/relationships/hyperlink" Target="https://img.quodom.com.ar/producto/575.png" TargetMode="External"/><Relationship Id="rId156" Type="http://schemas.openxmlformats.org/officeDocument/2006/relationships/hyperlink" Target="https://img.quodom.com.ar/producto/162.png" TargetMode="External"/><Relationship Id="rId277" Type="http://schemas.openxmlformats.org/officeDocument/2006/relationships/hyperlink" Target="https://img.quodom.com.ar/producto/453.png" TargetMode="External"/><Relationship Id="rId398" Type="http://schemas.openxmlformats.org/officeDocument/2006/relationships/hyperlink" Target="https://img.quodom.com.ar/producto/574.png" TargetMode="External"/><Relationship Id="rId155" Type="http://schemas.openxmlformats.org/officeDocument/2006/relationships/hyperlink" Target="https://img.quodom.com.ar/producto/161.png" TargetMode="External"/><Relationship Id="rId276" Type="http://schemas.openxmlformats.org/officeDocument/2006/relationships/hyperlink" Target="https://img.quodom.com.ar/producto/452.png" TargetMode="External"/><Relationship Id="rId397" Type="http://schemas.openxmlformats.org/officeDocument/2006/relationships/hyperlink" Target="https://img.quodom.com.ar/producto/573.png" TargetMode="External"/><Relationship Id="rId40" Type="http://schemas.openxmlformats.org/officeDocument/2006/relationships/hyperlink" Target="https://img.quodom.com.ar/producto/45.png" TargetMode="External"/><Relationship Id="rId42" Type="http://schemas.openxmlformats.org/officeDocument/2006/relationships/hyperlink" Target="https://img.quodom.com.ar/producto/47.png" TargetMode="External"/><Relationship Id="rId41" Type="http://schemas.openxmlformats.org/officeDocument/2006/relationships/hyperlink" Target="https://img.quodom.com.ar/producto/46.png" TargetMode="External"/><Relationship Id="rId44" Type="http://schemas.openxmlformats.org/officeDocument/2006/relationships/hyperlink" Target="https://img.quodom.com.ar/producto/49.png" TargetMode="External"/><Relationship Id="rId43" Type="http://schemas.openxmlformats.org/officeDocument/2006/relationships/hyperlink" Target="https://img.quodom.com.ar/producto/48.png" TargetMode="External"/><Relationship Id="rId46" Type="http://schemas.openxmlformats.org/officeDocument/2006/relationships/hyperlink" Target="https://img.quodom.com.ar/producto/51.png" TargetMode="External"/><Relationship Id="rId45" Type="http://schemas.openxmlformats.org/officeDocument/2006/relationships/hyperlink" Target="https://img.quodom.com.ar/producto/50.png" TargetMode="External"/><Relationship Id="rId509" Type="http://schemas.openxmlformats.org/officeDocument/2006/relationships/hyperlink" Target="https://img.quodom.com.ar/producto/686.png" TargetMode="External"/><Relationship Id="rId508" Type="http://schemas.openxmlformats.org/officeDocument/2006/relationships/hyperlink" Target="https://img.quodom.com.ar/producto/685.png" TargetMode="External"/><Relationship Id="rId503" Type="http://schemas.openxmlformats.org/officeDocument/2006/relationships/hyperlink" Target="https://img.quodom.com.ar/producto/680.png" TargetMode="External"/><Relationship Id="rId624" Type="http://schemas.openxmlformats.org/officeDocument/2006/relationships/hyperlink" Target="https://img.quodom.com.ar/producto/809.png" TargetMode="External"/><Relationship Id="rId502" Type="http://schemas.openxmlformats.org/officeDocument/2006/relationships/hyperlink" Target="https://img.quodom.com.ar/producto/679.png" TargetMode="External"/><Relationship Id="rId623" Type="http://schemas.openxmlformats.org/officeDocument/2006/relationships/hyperlink" Target="https://img.quodom.com.ar/producto/808.png" TargetMode="External"/><Relationship Id="rId501" Type="http://schemas.openxmlformats.org/officeDocument/2006/relationships/hyperlink" Target="https://img.quodom.com.ar/producto/678.png" TargetMode="External"/><Relationship Id="rId622" Type="http://schemas.openxmlformats.org/officeDocument/2006/relationships/hyperlink" Target="https://img.quodom.com.ar/producto/807.png" TargetMode="External"/><Relationship Id="rId500" Type="http://schemas.openxmlformats.org/officeDocument/2006/relationships/hyperlink" Target="https://img.quodom.com.ar/producto/677.png" TargetMode="External"/><Relationship Id="rId621" Type="http://schemas.openxmlformats.org/officeDocument/2006/relationships/hyperlink" Target="https://img.quodom.com.ar/producto/809.png" TargetMode="External"/><Relationship Id="rId507" Type="http://schemas.openxmlformats.org/officeDocument/2006/relationships/hyperlink" Target="https://img.quodom.com.ar/producto/684.png" TargetMode="External"/><Relationship Id="rId628" Type="http://schemas.openxmlformats.org/officeDocument/2006/relationships/vmlDrawing" Target="../drawings/vmlDrawing1.vml"/><Relationship Id="rId506" Type="http://schemas.openxmlformats.org/officeDocument/2006/relationships/hyperlink" Target="https://img.quodom.com.ar/producto/683.png" TargetMode="External"/><Relationship Id="rId627" Type="http://schemas.openxmlformats.org/officeDocument/2006/relationships/drawing" Target="../drawings/drawing2.xml"/><Relationship Id="rId505" Type="http://schemas.openxmlformats.org/officeDocument/2006/relationships/hyperlink" Target="https://img.quodom.com.ar/producto/682.png" TargetMode="External"/><Relationship Id="rId626" Type="http://schemas.openxmlformats.org/officeDocument/2006/relationships/hyperlink" Target="https://img.quodom.com.ar/producto/558.png" TargetMode="External"/><Relationship Id="rId504" Type="http://schemas.openxmlformats.org/officeDocument/2006/relationships/hyperlink" Target="https://img.quodom.com.ar/producto/681.png" TargetMode="External"/><Relationship Id="rId625" Type="http://schemas.openxmlformats.org/officeDocument/2006/relationships/hyperlink" Target="https://img.quodom.com.ar/producto/558.png" TargetMode="External"/><Relationship Id="rId48" Type="http://schemas.openxmlformats.org/officeDocument/2006/relationships/hyperlink" Target="https://img.quodom.com.ar/producto/53.png" TargetMode="External"/><Relationship Id="rId47" Type="http://schemas.openxmlformats.org/officeDocument/2006/relationships/hyperlink" Target="https://img.quodom.com.ar/producto/52.png" TargetMode="External"/><Relationship Id="rId49" Type="http://schemas.openxmlformats.org/officeDocument/2006/relationships/hyperlink" Target="https://img.quodom.com.ar/producto/54.png" TargetMode="External"/><Relationship Id="rId620" Type="http://schemas.openxmlformats.org/officeDocument/2006/relationships/hyperlink" Target="https://img.quodom.com.ar/producto/808.png" TargetMode="External"/><Relationship Id="rId31" Type="http://schemas.openxmlformats.org/officeDocument/2006/relationships/hyperlink" Target="https://img.quodom.com.ar/producto/30.png" TargetMode="External"/><Relationship Id="rId30" Type="http://schemas.openxmlformats.org/officeDocument/2006/relationships/hyperlink" Target="https://img.quodom.com.ar/producto/29.png" TargetMode="External"/><Relationship Id="rId33" Type="http://schemas.openxmlformats.org/officeDocument/2006/relationships/hyperlink" Target="https://img.quodom.com.ar/producto/32.png" TargetMode="External"/><Relationship Id="rId32" Type="http://schemas.openxmlformats.org/officeDocument/2006/relationships/hyperlink" Target="https://img.quodom.com.ar/producto/31.png" TargetMode="External"/><Relationship Id="rId35" Type="http://schemas.openxmlformats.org/officeDocument/2006/relationships/hyperlink" Target="https://img.quodom.com.ar/producto/34.png" TargetMode="External"/><Relationship Id="rId34" Type="http://schemas.openxmlformats.org/officeDocument/2006/relationships/hyperlink" Target="https://img.quodom.com.ar/producto/33.png" TargetMode="External"/><Relationship Id="rId619" Type="http://schemas.openxmlformats.org/officeDocument/2006/relationships/hyperlink" Target="https://img.quodom.com.ar/producto/807.png" TargetMode="External"/><Relationship Id="rId618" Type="http://schemas.openxmlformats.org/officeDocument/2006/relationships/hyperlink" Target="https://img.quodom.com.ar/producto/805.png" TargetMode="External"/><Relationship Id="rId613" Type="http://schemas.openxmlformats.org/officeDocument/2006/relationships/hyperlink" Target="https://img.quodom.com.ar/producto/702.png" TargetMode="External"/><Relationship Id="rId612" Type="http://schemas.openxmlformats.org/officeDocument/2006/relationships/hyperlink" Target="https://img.quodom.com.ar/producto/799.png" TargetMode="External"/><Relationship Id="rId611" Type="http://schemas.openxmlformats.org/officeDocument/2006/relationships/hyperlink" Target="https://img.quodom.com.ar/producto/188.png" TargetMode="External"/><Relationship Id="rId610" Type="http://schemas.openxmlformats.org/officeDocument/2006/relationships/hyperlink" Target="https://img.quodom.com.ar/producto/797.png" TargetMode="External"/><Relationship Id="rId617" Type="http://schemas.openxmlformats.org/officeDocument/2006/relationships/hyperlink" Target="https://img.quodom.com.ar/producto/804.png" TargetMode="External"/><Relationship Id="rId616" Type="http://schemas.openxmlformats.org/officeDocument/2006/relationships/hyperlink" Target="https://img.quodom.com.ar/producto/803.png" TargetMode="External"/><Relationship Id="rId615" Type="http://schemas.openxmlformats.org/officeDocument/2006/relationships/hyperlink" Target="https://img.quodom.com.ar/producto/802.png" TargetMode="External"/><Relationship Id="rId614" Type="http://schemas.openxmlformats.org/officeDocument/2006/relationships/hyperlink" Target="https://img.quodom.com.ar/producto/801.png" TargetMode="External"/><Relationship Id="rId37" Type="http://schemas.openxmlformats.org/officeDocument/2006/relationships/hyperlink" Target="https://img.quodom.com.ar/producto/42.png" TargetMode="External"/><Relationship Id="rId36" Type="http://schemas.openxmlformats.org/officeDocument/2006/relationships/hyperlink" Target="https://img.quodom.com.ar/producto/41.png" TargetMode="External"/><Relationship Id="rId39" Type="http://schemas.openxmlformats.org/officeDocument/2006/relationships/hyperlink" Target="https://img.quodom.com.ar/producto/44.png" TargetMode="External"/><Relationship Id="rId38" Type="http://schemas.openxmlformats.org/officeDocument/2006/relationships/hyperlink" Target="https://img.quodom.com.ar/producto/43.png" TargetMode="External"/><Relationship Id="rId20" Type="http://schemas.openxmlformats.org/officeDocument/2006/relationships/hyperlink" Target="https://img.quodom.com.ar/producto/19.png" TargetMode="External"/><Relationship Id="rId22" Type="http://schemas.openxmlformats.org/officeDocument/2006/relationships/hyperlink" Target="https://img.quodom.com.ar/producto/21.png" TargetMode="External"/><Relationship Id="rId21" Type="http://schemas.openxmlformats.org/officeDocument/2006/relationships/hyperlink" Target="https://img.quodom.com.ar/producto/20.png" TargetMode="External"/><Relationship Id="rId24" Type="http://schemas.openxmlformats.org/officeDocument/2006/relationships/hyperlink" Target="https://img.quodom.com.ar/producto/23.png" TargetMode="External"/><Relationship Id="rId23" Type="http://schemas.openxmlformats.org/officeDocument/2006/relationships/hyperlink" Target="https://img.quodom.com.ar/producto/22.png" TargetMode="External"/><Relationship Id="rId409" Type="http://schemas.openxmlformats.org/officeDocument/2006/relationships/hyperlink" Target="https://img.quodom.com.ar/producto/586.png" TargetMode="External"/><Relationship Id="rId404" Type="http://schemas.openxmlformats.org/officeDocument/2006/relationships/hyperlink" Target="https://img.quodom.com.ar/producto/581.png" TargetMode="External"/><Relationship Id="rId525" Type="http://schemas.openxmlformats.org/officeDocument/2006/relationships/hyperlink" Target="https://img.quodom.com.ar/producto/707.png" TargetMode="External"/><Relationship Id="rId403" Type="http://schemas.openxmlformats.org/officeDocument/2006/relationships/hyperlink" Target="https://img.quodom.com.ar/producto/580.png" TargetMode="External"/><Relationship Id="rId524" Type="http://schemas.openxmlformats.org/officeDocument/2006/relationships/hyperlink" Target="https://img.quodom.com.ar/producto/706.png" TargetMode="External"/><Relationship Id="rId402" Type="http://schemas.openxmlformats.org/officeDocument/2006/relationships/hyperlink" Target="https://img.quodom.com.ar/producto/578.png" TargetMode="External"/><Relationship Id="rId523" Type="http://schemas.openxmlformats.org/officeDocument/2006/relationships/hyperlink" Target="https://img.quodom.com.ar/producto/705.png" TargetMode="External"/><Relationship Id="rId401" Type="http://schemas.openxmlformats.org/officeDocument/2006/relationships/hyperlink" Target="https://img.quodom.com.ar/producto/577.png" TargetMode="External"/><Relationship Id="rId522" Type="http://schemas.openxmlformats.org/officeDocument/2006/relationships/hyperlink" Target="https://img.quodom.com.ar/producto/704.png" TargetMode="External"/><Relationship Id="rId408" Type="http://schemas.openxmlformats.org/officeDocument/2006/relationships/hyperlink" Target="https://img.quodom.com.ar/producto/585.png" TargetMode="External"/><Relationship Id="rId529" Type="http://schemas.openxmlformats.org/officeDocument/2006/relationships/hyperlink" Target="https://img.quodom.com.ar/producto/711.png" TargetMode="External"/><Relationship Id="rId407" Type="http://schemas.openxmlformats.org/officeDocument/2006/relationships/hyperlink" Target="https://img.quodom.com.ar/producto/584.png" TargetMode="External"/><Relationship Id="rId528" Type="http://schemas.openxmlformats.org/officeDocument/2006/relationships/hyperlink" Target="https://img.quodom.com.ar/producto/710.png" TargetMode="External"/><Relationship Id="rId406" Type="http://schemas.openxmlformats.org/officeDocument/2006/relationships/hyperlink" Target="https://img.quodom.com.ar/producto/583.png" TargetMode="External"/><Relationship Id="rId527" Type="http://schemas.openxmlformats.org/officeDocument/2006/relationships/hyperlink" Target="https://img.quodom.com.ar/producto/709.png" TargetMode="External"/><Relationship Id="rId405" Type="http://schemas.openxmlformats.org/officeDocument/2006/relationships/hyperlink" Target="https://img.quodom.com.ar/producto/582.png" TargetMode="External"/><Relationship Id="rId526" Type="http://schemas.openxmlformats.org/officeDocument/2006/relationships/hyperlink" Target="https://img.quodom.com.ar/producto/708.png" TargetMode="External"/><Relationship Id="rId26" Type="http://schemas.openxmlformats.org/officeDocument/2006/relationships/hyperlink" Target="https://img.quodom.com.ar/producto/25.png" TargetMode="External"/><Relationship Id="rId25" Type="http://schemas.openxmlformats.org/officeDocument/2006/relationships/hyperlink" Target="https://img.quodom.com.ar/producto/24.png" TargetMode="External"/><Relationship Id="rId28" Type="http://schemas.openxmlformats.org/officeDocument/2006/relationships/hyperlink" Target="https://img.quodom.com.ar/producto/27.png" TargetMode="External"/><Relationship Id="rId27" Type="http://schemas.openxmlformats.org/officeDocument/2006/relationships/hyperlink" Target="https://img.quodom.com.ar/producto/26.png" TargetMode="External"/><Relationship Id="rId400" Type="http://schemas.openxmlformats.org/officeDocument/2006/relationships/hyperlink" Target="https://img.quodom.com.ar/producto/576.png" TargetMode="External"/><Relationship Id="rId521" Type="http://schemas.openxmlformats.org/officeDocument/2006/relationships/hyperlink" Target="https://img.quodom.com.ar/producto/703.png" TargetMode="External"/><Relationship Id="rId29" Type="http://schemas.openxmlformats.org/officeDocument/2006/relationships/hyperlink" Target="https://img.quodom.com.ar/producto/28.png" TargetMode="External"/><Relationship Id="rId520" Type="http://schemas.openxmlformats.org/officeDocument/2006/relationships/hyperlink" Target="https://img.quodom.com.ar/producto/697.png" TargetMode="External"/><Relationship Id="rId11" Type="http://schemas.openxmlformats.org/officeDocument/2006/relationships/hyperlink" Target="https://img.quodom.com.ar/producto/10.png" TargetMode="External"/><Relationship Id="rId10" Type="http://schemas.openxmlformats.org/officeDocument/2006/relationships/hyperlink" Target="https://img.quodom.com.ar/producto/9.png" TargetMode="External"/><Relationship Id="rId13" Type="http://schemas.openxmlformats.org/officeDocument/2006/relationships/hyperlink" Target="https://img.quodom.com.ar/producto/12.png" TargetMode="External"/><Relationship Id="rId12" Type="http://schemas.openxmlformats.org/officeDocument/2006/relationships/hyperlink" Target="https://img.quodom.com.ar/producto/11.png" TargetMode="External"/><Relationship Id="rId519" Type="http://schemas.openxmlformats.org/officeDocument/2006/relationships/hyperlink" Target="https://img.quodom.com.ar/producto/696.png" TargetMode="External"/><Relationship Id="rId514" Type="http://schemas.openxmlformats.org/officeDocument/2006/relationships/hyperlink" Target="https://img.quodom.com.ar/producto/691.png" TargetMode="External"/><Relationship Id="rId513" Type="http://schemas.openxmlformats.org/officeDocument/2006/relationships/hyperlink" Target="https://img.quodom.com.ar/producto/690.png" TargetMode="External"/><Relationship Id="rId512" Type="http://schemas.openxmlformats.org/officeDocument/2006/relationships/hyperlink" Target="https://img.quodom.com.ar/producto/689.png" TargetMode="External"/><Relationship Id="rId511" Type="http://schemas.openxmlformats.org/officeDocument/2006/relationships/hyperlink" Target="https://img.quodom.com.ar/producto/688.png" TargetMode="External"/><Relationship Id="rId518" Type="http://schemas.openxmlformats.org/officeDocument/2006/relationships/hyperlink" Target="https://img.quodom.com.ar/producto/695.png" TargetMode="External"/><Relationship Id="rId517" Type="http://schemas.openxmlformats.org/officeDocument/2006/relationships/hyperlink" Target="https://img.quodom.com.ar/producto/694.png" TargetMode="External"/><Relationship Id="rId516" Type="http://schemas.openxmlformats.org/officeDocument/2006/relationships/hyperlink" Target="https://img.quodom.com.ar/producto/693.png" TargetMode="External"/><Relationship Id="rId515" Type="http://schemas.openxmlformats.org/officeDocument/2006/relationships/hyperlink" Target="https://img.quodom.com.ar/producto/692.png" TargetMode="External"/><Relationship Id="rId15" Type="http://schemas.openxmlformats.org/officeDocument/2006/relationships/hyperlink" Target="https://img.quodom.com.ar/producto/14.png" TargetMode="External"/><Relationship Id="rId14" Type="http://schemas.openxmlformats.org/officeDocument/2006/relationships/hyperlink" Target="https://img.quodom.com.ar/producto/13.png" TargetMode="External"/><Relationship Id="rId17" Type="http://schemas.openxmlformats.org/officeDocument/2006/relationships/hyperlink" Target="https://img.quodom.com.ar/producto/16.png" TargetMode="External"/><Relationship Id="rId16" Type="http://schemas.openxmlformats.org/officeDocument/2006/relationships/hyperlink" Target="https://img.quodom.com.ar/producto/15.png" TargetMode="External"/><Relationship Id="rId19" Type="http://schemas.openxmlformats.org/officeDocument/2006/relationships/hyperlink" Target="https://img.quodom.com.ar/producto/18.png" TargetMode="External"/><Relationship Id="rId510" Type="http://schemas.openxmlformats.org/officeDocument/2006/relationships/hyperlink" Target="https://img.quodom.com.ar/producto/687.png" TargetMode="External"/><Relationship Id="rId18" Type="http://schemas.openxmlformats.org/officeDocument/2006/relationships/hyperlink" Target="https://img.quodom.com.ar/producto/17.png" TargetMode="External"/><Relationship Id="rId84" Type="http://schemas.openxmlformats.org/officeDocument/2006/relationships/hyperlink" Target="https://img.quodom.com.ar/producto/90.png" TargetMode="External"/><Relationship Id="rId83" Type="http://schemas.openxmlformats.org/officeDocument/2006/relationships/hyperlink" Target="https://img.quodom.com.ar/producto/89.png" TargetMode="External"/><Relationship Id="rId86" Type="http://schemas.openxmlformats.org/officeDocument/2006/relationships/hyperlink" Target="https://img.quodom.com.ar/producto/92.png" TargetMode="External"/><Relationship Id="rId85" Type="http://schemas.openxmlformats.org/officeDocument/2006/relationships/hyperlink" Target="https://img.quodom.com.ar/producto/91.png" TargetMode="External"/><Relationship Id="rId88" Type="http://schemas.openxmlformats.org/officeDocument/2006/relationships/hyperlink" Target="https://img.quodom.com.ar/producto/94.png" TargetMode="External"/><Relationship Id="rId87" Type="http://schemas.openxmlformats.org/officeDocument/2006/relationships/hyperlink" Target="https://img.quodom.com.ar/producto/93.png" TargetMode="External"/><Relationship Id="rId89" Type="http://schemas.openxmlformats.org/officeDocument/2006/relationships/hyperlink" Target="https://img.quodom.com.ar/producto/95.png" TargetMode="External"/><Relationship Id="rId80" Type="http://schemas.openxmlformats.org/officeDocument/2006/relationships/hyperlink" Target="https://img.quodom.com.ar/producto/86.png" TargetMode="External"/><Relationship Id="rId82" Type="http://schemas.openxmlformats.org/officeDocument/2006/relationships/hyperlink" Target="https://img.quodom.com.ar/producto/88.png" TargetMode="External"/><Relationship Id="rId81" Type="http://schemas.openxmlformats.org/officeDocument/2006/relationships/hyperlink" Target="https://img.quodom.com.ar/producto/87.png" TargetMode="External"/><Relationship Id="rId73" Type="http://schemas.openxmlformats.org/officeDocument/2006/relationships/hyperlink" Target="https://img.quodom.com.ar/producto/79.png" TargetMode="External"/><Relationship Id="rId72" Type="http://schemas.openxmlformats.org/officeDocument/2006/relationships/hyperlink" Target="https://img.quodom.com.ar/producto/78.png" TargetMode="External"/><Relationship Id="rId75" Type="http://schemas.openxmlformats.org/officeDocument/2006/relationships/hyperlink" Target="https://img.quodom.com.ar/producto/81.png" TargetMode="External"/><Relationship Id="rId74" Type="http://schemas.openxmlformats.org/officeDocument/2006/relationships/hyperlink" Target="https://img.quodom.com.ar/producto/80.png" TargetMode="External"/><Relationship Id="rId77" Type="http://schemas.openxmlformats.org/officeDocument/2006/relationships/hyperlink" Target="https://img.quodom.com.ar/producto/83.png" TargetMode="External"/><Relationship Id="rId76" Type="http://schemas.openxmlformats.org/officeDocument/2006/relationships/hyperlink" Target="https://img.quodom.com.ar/producto/82.png" TargetMode="External"/><Relationship Id="rId79" Type="http://schemas.openxmlformats.org/officeDocument/2006/relationships/hyperlink" Target="https://img.quodom.com.ar/producto/85.png" TargetMode="External"/><Relationship Id="rId78" Type="http://schemas.openxmlformats.org/officeDocument/2006/relationships/hyperlink" Target="https://img.quodom.com.ar/producto/84.png" TargetMode="External"/><Relationship Id="rId71" Type="http://schemas.openxmlformats.org/officeDocument/2006/relationships/hyperlink" Target="https://img.quodom.com.ar/producto/77.png" TargetMode="External"/><Relationship Id="rId70" Type="http://schemas.openxmlformats.org/officeDocument/2006/relationships/hyperlink" Target="https://img.quodom.com.ar/producto/76.png" TargetMode="External"/><Relationship Id="rId62" Type="http://schemas.openxmlformats.org/officeDocument/2006/relationships/hyperlink" Target="https://img.quodom.com.ar/producto/67.png" TargetMode="External"/><Relationship Id="rId61" Type="http://schemas.openxmlformats.org/officeDocument/2006/relationships/hyperlink" Target="https://img.quodom.com.ar/producto/66.png" TargetMode="External"/><Relationship Id="rId64" Type="http://schemas.openxmlformats.org/officeDocument/2006/relationships/hyperlink" Target="https://img.quodom.com.ar/producto/69.png" TargetMode="External"/><Relationship Id="rId63" Type="http://schemas.openxmlformats.org/officeDocument/2006/relationships/hyperlink" Target="https://img.quodom.com.ar/producto/68.png" TargetMode="External"/><Relationship Id="rId66" Type="http://schemas.openxmlformats.org/officeDocument/2006/relationships/hyperlink" Target="https://img.quodom.com.ar/producto/71.png" TargetMode="External"/><Relationship Id="rId65" Type="http://schemas.openxmlformats.org/officeDocument/2006/relationships/hyperlink" Target="https://img.quodom.com.ar/producto/70.png" TargetMode="External"/><Relationship Id="rId68" Type="http://schemas.openxmlformats.org/officeDocument/2006/relationships/hyperlink" Target="https://img.quodom.com.ar/producto/73.png" TargetMode="External"/><Relationship Id="rId67" Type="http://schemas.openxmlformats.org/officeDocument/2006/relationships/hyperlink" Target="https://img.quodom.com.ar/producto/72.png" TargetMode="External"/><Relationship Id="rId609" Type="http://schemas.openxmlformats.org/officeDocument/2006/relationships/hyperlink" Target="https://img.quodom.com.ar/producto/796.png" TargetMode="External"/><Relationship Id="rId608" Type="http://schemas.openxmlformats.org/officeDocument/2006/relationships/hyperlink" Target="https://img.quodom.com.ar/producto/795.png" TargetMode="External"/><Relationship Id="rId607" Type="http://schemas.openxmlformats.org/officeDocument/2006/relationships/hyperlink" Target="https://img.quodom.com.ar/producto/794.png" TargetMode="External"/><Relationship Id="rId60" Type="http://schemas.openxmlformats.org/officeDocument/2006/relationships/hyperlink" Target="https://img.quodom.com.ar/producto/65.png" TargetMode="External"/><Relationship Id="rId602" Type="http://schemas.openxmlformats.org/officeDocument/2006/relationships/hyperlink" Target="https://img.quodom.com.ar/producto/789.png" TargetMode="External"/><Relationship Id="rId601" Type="http://schemas.openxmlformats.org/officeDocument/2006/relationships/hyperlink" Target="https://img.quodom.com.ar/producto/788.png" TargetMode="External"/><Relationship Id="rId600" Type="http://schemas.openxmlformats.org/officeDocument/2006/relationships/hyperlink" Target="https://img.quodom.com.ar/producto/787.png" TargetMode="External"/><Relationship Id="rId606" Type="http://schemas.openxmlformats.org/officeDocument/2006/relationships/hyperlink" Target="https://img.quodom.com.ar/producto/793.png" TargetMode="External"/><Relationship Id="rId605" Type="http://schemas.openxmlformats.org/officeDocument/2006/relationships/hyperlink" Target="https://img.quodom.com.ar/producto/792.png" TargetMode="External"/><Relationship Id="rId604" Type="http://schemas.openxmlformats.org/officeDocument/2006/relationships/hyperlink" Target="https://img.quodom.com.ar/producto/791.png" TargetMode="External"/><Relationship Id="rId603" Type="http://schemas.openxmlformats.org/officeDocument/2006/relationships/hyperlink" Target="https://img.quodom.com.ar/producto/790.png" TargetMode="External"/><Relationship Id="rId69" Type="http://schemas.openxmlformats.org/officeDocument/2006/relationships/hyperlink" Target="https://img.quodom.com.ar/producto/74.png" TargetMode="External"/><Relationship Id="rId51" Type="http://schemas.openxmlformats.org/officeDocument/2006/relationships/hyperlink" Target="https://img.quodom.com.ar/producto/56.png" TargetMode="External"/><Relationship Id="rId50" Type="http://schemas.openxmlformats.org/officeDocument/2006/relationships/hyperlink" Target="https://img.quodom.com.ar/producto/55.png" TargetMode="External"/><Relationship Id="rId53" Type="http://schemas.openxmlformats.org/officeDocument/2006/relationships/hyperlink" Target="https://img.quodom.com.ar/producto/58.png" TargetMode="External"/><Relationship Id="rId52" Type="http://schemas.openxmlformats.org/officeDocument/2006/relationships/hyperlink" Target="https://img.quodom.com.ar/producto/57.png" TargetMode="External"/><Relationship Id="rId55" Type="http://schemas.openxmlformats.org/officeDocument/2006/relationships/hyperlink" Target="https://img.quodom.com.ar/producto/60.png" TargetMode="External"/><Relationship Id="rId54" Type="http://schemas.openxmlformats.org/officeDocument/2006/relationships/hyperlink" Target="https://img.quodom.com.ar/producto/59.png" TargetMode="External"/><Relationship Id="rId57" Type="http://schemas.openxmlformats.org/officeDocument/2006/relationships/hyperlink" Target="https://img.quodom.com.ar/producto/62.png" TargetMode="External"/><Relationship Id="rId56" Type="http://schemas.openxmlformats.org/officeDocument/2006/relationships/hyperlink" Target="https://img.quodom.com.ar/producto/61.png" TargetMode="External"/><Relationship Id="rId59" Type="http://schemas.openxmlformats.org/officeDocument/2006/relationships/hyperlink" Target="https://img.quodom.com.ar/producto/64.png" TargetMode="External"/><Relationship Id="rId58" Type="http://schemas.openxmlformats.org/officeDocument/2006/relationships/hyperlink" Target="https://img.quodom.com.ar/producto/63.png" TargetMode="External"/><Relationship Id="rId590" Type="http://schemas.openxmlformats.org/officeDocument/2006/relationships/hyperlink" Target="https://img.quodom.com.ar/producto/772.png" TargetMode="External"/><Relationship Id="rId107" Type="http://schemas.openxmlformats.org/officeDocument/2006/relationships/hyperlink" Target="https://img.quodom.com.ar/producto/113.png" TargetMode="External"/><Relationship Id="rId228" Type="http://schemas.openxmlformats.org/officeDocument/2006/relationships/hyperlink" Target="https://img.quodom.com.ar/producto/382.png" TargetMode="External"/><Relationship Id="rId349" Type="http://schemas.openxmlformats.org/officeDocument/2006/relationships/hyperlink" Target="https://img.quodom.com.ar/producto/525.png" TargetMode="External"/><Relationship Id="rId106" Type="http://schemas.openxmlformats.org/officeDocument/2006/relationships/hyperlink" Target="https://img.quodom.com.ar/producto/112.png" TargetMode="External"/><Relationship Id="rId227" Type="http://schemas.openxmlformats.org/officeDocument/2006/relationships/hyperlink" Target="https://img.quodom.com.ar/producto/249.png" TargetMode="External"/><Relationship Id="rId348" Type="http://schemas.openxmlformats.org/officeDocument/2006/relationships/hyperlink" Target="https://img.quodom.com.ar/producto/524.png" TargetMode="External"/><Relationship Id="rId469" Type="http://schemas.openxmlformats.org/officeDocument/2006/relationships/hyperlink" Target="https://img.quodom.com.ar/producto/646.png" TargetMode="External"/><Relationship Id="rId105" Type="http://schemas.openxmlformats.org/officeDocument/2006/relationships/hyperlink" Target="https://img.quodom.com.ar/producto/111.png" TargetMode="External"/><Relationship Id="rId226" Type="http://schemas.openxmlformats.org/officeDocument/2006/relationships/hyperlink" Target="https://img.quodom.com.ar/producto/248.png" TargetMode="External"/><Relationship Id="rId347" Type="http://schemas.openxmlformats.org/officeDocument/2006/relationships/hyperlink" Target="https://img.quodom.com.ar/producto/523.png" TargetMode="External"/><Relationship Id="rId468" Type="http://schemas.openxmlformats.org/officeDocument/2006/relationships/hyperlink" Target="https://img.quodom.com.ar/producto/645.png" TargetMode="External"/><Relationship Id="rId589" Type="http://schemas.openxmlformats.org/officeDocument/2006/relationships/hyperlink" Target="https://img.quodom.com.ar/producto/771.png" TargetMode="External"/><Relationship Id="rId104" Type="http://schemas.openxmlformats.org/officeDocument/2006/relationships/hyperlink" Target="https://img.quodom.com.ar/producto/110.png" TargetMode="External"/><Relationship Id="rId225" Type="http://schemas.openxmlformats.org/officeDocument/2006/relationships/hyperlink" Target="https://img.quodom.com.ar/producto/247.png" TargetMode="External"/><Relationship Id="rId346" Type="http://schemas.openxmlformats.org/officeDocument/2006/relationships/hyperlink" Target="https://img.quodom.com.ar/producto/522.png" TargetMode="External"/><Relationship Id="rId467" Type="http://schemas.openxmlformats.org/officeDocument/2006/relationships/hyperlink" Target="https://img.quodom.com.ar/producto/644.png" TargetMode="External"/><Relationship Id="rId588" Type="http://schemas.openxmlformats.org/officeDocument/2006/relationships/hyperlink" Target="https://img.quodom.com.ar/producto/770.png" TargetMode="External"/><Relationship Id="rId109" Type="http://schemas.openxmlformats.org/officeDocument/2006/relationships/hyperlink" Target="https://img.quodom.com.ar/producto/115.png" TargetMode="External"/><Relationship Id="rId108" Type="http://schemas.openxmlformats.org/officeDocument/2006/relationships/hyperlink" Target="https://img.quodom.com.ar/producto/114.png" TargetMode="External"/><Relationship Id="rId229" Type="http://schemas.openxmlformats.org/officeDocument/2006/relationships/hyperlink" Target="https://img.quodom.com.ar/producto/383.png" TargetMode="External"/><Relationship Id="rId220" Type="http://schemas.openxmlformats.org/officeDocument/2006/relationships/hyperlink" Target="https://img.quodom.com.ar/producto/242.png" TargetMode="External"/><Relationship Id="rId341" Type="http://schemas.openxmlformats.org/officeDocument/2006/relationships/hyperlink" Target="https://img.quodom.com.ar/producto/517.png" TargetMode="External"/><Relationship Id="rId462" Type="http://schemas.openxmlformats.org/officeDocument/2006/relationships/hyperlink" Target="https://img.quodom.com.ar/producto/639.png" TargetMode="External"/><Relationship Id="rId583" Type="http://schemas.openxmlformats.org/officeDocument/2006/relationships/hyperlink" Target="https://img.quodom.com.ar/producto/765.png" TargetMode="External"/><Relationship Id="rId340" Type="http://schemas.openxmlformats.org/officeDocument/2006/relationships/hyperlink" Target="https://img.quodom.com.ar/producto/516.png" TargetMode="External"/><Relationship Id="rId461" Type="http://schemas.openxmlformats.org/officeDocument/2006/relationships/hyperlink" Target="https://img.quodom.com.ar/producto/638.png" TargetMode="External"/><Relationship Id="rId582" Type="http://schemas.openxmlformats.org/officeDocument/2006/relationships/hyperlink" Target="https://img.quodom.com.ar/producto/764.png" TargetMode="External"/><Relationship Id="rId460" Type="http://schemas.openxmlformats.org/officeDocument/2006/relationships/hyperlink" Target="https://img.quodom.com.ar/producto/637.png" TargetMode="External"/><Relationship Id="rId581" Type="http://schemas.openxmlformats.org/officeDocument/2006/relationships/hyperlink" Target="https://img.quodom.com.ar/producto/763.png" TargetMode="External"/><Relationship Id="rId580" Type="http://schemas.openxmlformats.org/officeDocument/2006/relationships/hyperlink" Target="https://img.quodom.com.ar/producto/762.png" TargetMode="External"/><Relationship Id="rId103" Type="http://schemas.openxmlformats.org/officeDocument/2006/relationships/hyperlink" Target="https://img.quodom.com.ar/producto/109.png" TargetMode="External"/><Relationship Id="rId224" Type="http://schemas.openxmlformats.org/officeDocument/2006/relationships/hyperlink" Target="https://img.quodom.com.ar/producto/246.png" TargetMode="External"/><Relationship Id="rId345" Type="http://schemas.openxmlformats.org/officeDocument/2006/relationships/hyperlink" Target="https://img.quodom.com.ar/producto/521.png" TargetMode="External"/><Relationship Id="rId466" Type="http://schemas.openxmlformats.org/officeDocument/2006/relationships/hyperlink" Target="https://img.quodom.com.ar/producto/643.png" TargetMode="External"/><Relationship Id="rId587" Type="http://schemas.openxmlformats.org/officeDocument/2006/relationships/hyperlink" Target="https://img.quodom.com.ar/producto/769.png" TargetMode="External"/><Relationship Id="rId102" Type="http://schemas.openxmlformats.org/officeDocument/2006/relationships/hyperlink" Target="https://img.quodom.com.ar/producto/108.png" TargetMode="External"/><Relationship Id="rId223" Type="http://schemas.openxmlformats.org/officeDocument/2006/relationships/hyperlink" Target="https://img.quodom.com.ar/producto/245.png" TargetMode="External"/><Relationship Id="rId344" Type="http://schemas.openxmlformats.org/officeDocument/2006/relationships/hyperlink" Target="https://img.quodom.com.ar/producto/520.png" TargetMode="External"/><Relationship Id="rId465" Type="http://schemas.openxmlformats.org/officeDocument/2006/relationships/hyperlink" Target="https://img.quodom.com.ar/producto/642.png" TargetMode="External"/><Relationship Id="rId586" Type="http://schemas.openxmlformats.org/officeDocument/2006/relationships/hyperlink" Target="https://img.quodom.com.ar/producto/768.png" TargetMode="External"/><Relationship Id="rId101" Type="http://schemas.openxmlformats.org/officeDocument/2006/relationships/hyperlink" Target="https://img.quodom.com.ar/producto/107.png" TargetMode="External"/><Relationship Id="rId222" Type="http://schemas.openxmlformats.org/officeDocument/2006/relationships/hyperlink" Target="https://img.quodom.com.ar/producto/244.png" TargetMode="External"/><Relationship Id="rId343" Type="http://schemas.openxmlformats.org/officeDocument/2006/relationships/hyperlink" Target="https://img.quodom.com.ar/producto/519.png" TargetMode="External"/><Relationship Id="rId464" Type="http://schemas.openxmlformats.org/officeDocument/2006/relationships/hyperlink" Target="https://img.quodom.com.ar/producto/641.png" TargetMode="External"/><Relationship Id="rId585" Type="http://schemas.openxmlformats.org/officeDocument/2006/relationships/hyperlink" Target="https://img.quodom.com.ar/producto/767.png" TargetMode="External"/><Relationship Id="rId100" Type="http://schemas.openxmlformats.org/officeDocument/2006/relationships/hyperlink" Target="https://img.quodom.com.ar/producto/106.png" TargetMode="External"/><Relationship Id="rId221" Type="http://schemas.openxmlformats.org/officeDocument/2006/relationships/hyperlink" Target="https://img.quodom.com.ar/producto/243.png" TargetMode="External"/><Relationship Id="rId342" Type="http://schemas.openxmlformats.org/officeDocument/2006/relationships/hyperlink" Target="https://img.quodom.com.ar/producto/518.png" TargetMode="External"/><Relationship Id="rId463" Type="http://schemas.openxmlformats.org/officeDocument/2006/relationships/hyperlink" Target="https://img.quodom.com.ar/producto/640.png" TargetMode="External"/><Relationship Id="rId584" Type="http://schemas.openxmlformats.org/officeDocument/2006/relationships/hyperlink" Target="https://img.quodom.com.ar/producto/766.png" TargetMode="External"/><Relationship Id="rId217" Type="http://schemas.openxmlformats.org/officeDocument/2006/relationships/hyperlink" Target="https://img.quodom.com.ar/producto/239.png" TargetMode="External"/><Relationship Id="rId338" Type="http://schemas.openxmlformats.org/officeDocument/2006/relationships/hyperlink" Target="https://img.quodom.com.ar/producto/514.png" TargetMode="External"/><Relationship Id="rId459" Type="http://schemas.openxmlformats.org/officeDocument/2006/relationships/hyperlink" Target="https://img.quodom.com.ar/producto/636.png" TargetMode="External"/><Relationship Id="rId216" Type="http://schemas.openxmlformats.org/officeDocument/2006/relationships/hyperlink" Target="https://img.quodom.com.ar/producto/238.png" TargetMode="External"/><Relationship Id="rId337" Type="http://schemas.openxmlformats.org/officeDocument/2006/relationships/hyperlink" Target="https://img.quodom.com.ar/producto/513.png" TargetMode="External"/><Relationship Id="rId458" Type="http://schemas.openxmlformats.org/officeDocument/2006/relationships/hyperlink" Target="https://img.quodom.com.ar/producto/635.png" TargetMode="External"/><Relationship Id="rId579" Type="http://schemas.openxmlformats.org/officeDocument/2006/relationships/hyperlink" Target="https://img.quodom.com.ar/producto/761.png" TargetMode="External"/><Relationship Id="rId215" Type="http://schemas.openxmlformats.org/officeDocument/2006/relationships/hyperlink" Target="https://img.quodom.com.ar/producto/237.png" TargetMode="External"/><Relationship Id="rId336" Type="http://schemas.openxmlformats.org/officeDocument/2006/relationships/hyperlink" Target="https://img.quodom.com.ar/producto/512.png" TargetMode="External"/><Relationship Id="rId457" Type="http://schemas.openxmlformats.org/officeDocument/2006/relationships/hyperlink" Target="https://img.quodom.com.ar/producto/634.png" TargetMode="External"/><Relationship Id="rId578" Type="http://schemas.openxmlformats.org/officeDocument/2006/relationships/hyperlink" Target="https://img.quodom.com.ar/producto/760.png" TargetMode="External"/><Relationship Id="rId214" Type="http://schemas.openxmlformats.org/officeDocument/2006/relationships/hyperlink" Target="https://img.quodom.com.ar/producto/236.png" TargetMode="External"/><Relationship Id="rId335" Type="http://schemas.openxmlformats.org/officeDocument/2006/relationships/hyperlink" Target="https://img.quodom.com.ar/producto/511.png" TargetMode="External"/><Relationship Id="rId456" Type="http://schemas.openxmlformats.org/officeDocument/2006/relationships/hyperlink" Target="https://img.quodom.com.ar/producto/633.png" TargetMode="External"/><Relationship Id="rId577" Type="http://schemas.openxmlformats.org/officeDocument/2006/relationships/hyperlink" Target="https://img.quodom.com.ar/producto/759.png" TargetMode="External"/><Relationship Id="rId219" Type="http://schemas.openxmlformats.org/officeDocument/2006/relationships/hyperlink" Target="https://img.quodom.com.ar/producto/241.png" TargetMode="External"/><Relationship Id="rId218" Type="http://schemas.openxmlformats.org/officeDocument/2006/relationships/hyperlink" Target="https://img.quodom.com.ar/producto/240.png" TargetMode="External"/><Relationship Id="rId339" Type="http://schemas.openxmlformats.org/officeDocument/2006/relationships/hyperlink" Target="https://img.quodom.com.ar/producto/515.png" TargetMode="External"/><Relationship Id="rId330" Type="http://schemas.openxmlformats.org/officeDocument/2006/relationships/hyperlink" Target="https://img.quodom.com.ar/producto/506.png" TargetMode="External"/><Relationship Id="rId451" Type="http://schemas.openxmlformats.org/officeDocument/2006/relationships/hyperlink" Target="https://img.quodom.com.ar/producto/628.png" TargetMode="External"/><Relationship Id="rId572" Type="http://schemas.openxmlformats.org/officeDocument/2006/relationships/hyperlink" Target="https://img.quodom.com.ar/producto/754.png" TargetMode="External"/><Relationship Id="rId450" Type="http://schemas.openxmlformats.org/officeDocument/2006/relationships/hyperlink" Target="https://img.quodom.com.ar/producto/627.png" TargetMode="External"/><Relationship Id="rId571" Type="http://schemas.openxmlformats.org/officeDocument/2006/relationships/hyperlink" Target="https://img.quodom.com.ar/producto/753.png" TargetMode="External"/><Relationship Id="rId570" Type="http://schemas.openxmlformats.org/officeDocument/2006/relationships/hyperlink" Target="https://img.quodom.com.ar/producto/752.png" TargetMode="External"/><Relationship Id="rId213" Type="http://schemas.openxmlformats.org/officeDocument/2006/relationships/hyperlink" Target="https://img.quodom.com.ar/producto/235.png" TargetMode="External"/><Relationship Id="rId334" Type="http://schemas.openxmlformats.org/officeDocument/2006/relationships/hyperlink" Target="https://img.quodom.com.ar/producto/510.png" TargetMode="External"/><Relationship Id="rId455" Type="http://schemas.openxmlformats.org/officeDocument/2006/relationships/hyperlink" Target="https://img.quodom.com.ar/producto/632.png" TargetMode="External"/><Relationship Id="rId576" Type="http://schemas.openxmlformats.org/officeDocument/2006/relationships/hyperlink" Target="https://img.quodom.com.ar/producto/758.png" TargetMode="External"/><Relationship Id="rId212" Type="http://schemas.openxmlformats.org/officeDocument/2006/relationships/hyperlink" Target="https://img.quodom.com.ar/producto/234.png" TargetMode="External"/><Relationship Id="rId333" Type="http://schemas.openxmlformats.org/officeDocument/2006/relationships/hyperlink" Target="https://img.quodom.com.ar/producto/509.png" TargetMode="External"/><Relationship Id="rId454" Type="http://schemas.openxmlformats.org/officeDocument/2006/relationships/hyperlink" Target="https://img.quodom.com.ar/producto/631.png" TargetMode="External"/><Relationship Id="rId575" Type="http://schemas.openxmlformats.org/officeDocument/2006/relationships/hyperlink" Target="https://img.quodom.com.ar/producto/757.png" TargetMode="External"/><Relationship Id="rId211" Type="http://schemas.openxmlformats.org/officeDocument/2006/relationships/hyperlink" Target="https://img.quodom.com.ar/producto/233.png" TargetMode="External"/><Relationship Id="rId332" Type="http://schemas.openxmlformats.org/officeDocument/2006/relationships/hyperlink" Target="https://img.quodom.com.ar/producto/508.png" TargetMode="External"/><Relationship Id="rId453" Type="http://schemas.openxmlformats.org/officeDocument/2006/relationships/hyperlink" Target="https://img.quodom.com.ar/producto/630.png" TargetMode="External"/><Relationship Id="rId574" Type="http://schemas.openxmlformats.org/officeDocument/2006/relationships/hyperlink" Target="https://img.quodom.com.ar/producto/756.png" TargetMode="External"/><Relationship Id="rId210" Type="http://schemas.openxmlformats.org/officeDocument/2006/relationships/hyperlink" Target="https://img.quodom.com.ar/producto/232.png" TargetMode="External"/><Relationship Id="rId331" Type="http://schemas.openxmlformats.org/officeDocument/2006/relationships/hyperlink" Target="https://img.quodom.com.ar/producto/507.png" TargetMode="External"/><Relationship Id="rId452" Type="http://schemas.openxmlformats.org/officeDocument/2006/relationships/hyperlink" Target="https://img.quodom.com.ar/producto/629.png" TargetMode="External"/><Relationship Id="rId573" Type="http://schemas.openxmlformats.org/officeDocument/2006/relationships/hyperlink" Target="https://img.quodom.com.ar/producto/755.png" TargetMode="External"/><Relationship Id="rId370" Type="http://schemas.openxmlformats.org/officeDocument/2006/relationships/hyperlink" Target="https://img.quodom.com.ar/producto/546.png" TargetMode="External"/><Relationship Id="rId491" Type="http://schemas.openxmlformats.org/officeDocument/2006/relationships/hyperlink" Target="https://img.quodom.com.ar/producto/668.png" TargetMode="External"/><Relationship Id="rId490" Type="http://schemas.openxmlformats.org/officeDocument/2006/relationships/hyperlink" Target="https://img.quodom.com.ar/producto/667.png" TargetMode="External"/><Relationship Id="rId129" Type="http://schemas.openxmlformats.org/officeDocument/2006/relationships/hyperlink" Target="https://img.quodom.com.ar/producto/135.png" TargetMode="External"/><Relationship Id="rId128" Type="http://schemas.openxmlformats.org/officeDocument/2006/relationships/hyperlink" Target="https://img.quodom.com.ar/producto/134.png" TargetMode="External"/><Relationship Id="rId249" Type="http://schemas.openxmlformats.org/officeDocument/2006/relationships/hyperlink" Target="https://img.quodom.com.ar/producto/415.png" TargetMode="External"/><Relationship Id="rId127" Type="http://schemas.openxmlformats.org/officeDocument/2006/relationships/hyperlink" Target="https://img.quodom.com.ar/producto/133.png" TargetMode="External"/><Relationship Id="rId248" Type="http://schemas.openxmlformats.org/officeDocument/2006/relationships/hyperlink" Target="https://img.quodom.com.ar/producto/414.png" TargetMode="External"/><Relationship Id="rId369" Type="http://schemas.openxmlformats.org/officeDocument/2006/relationships/hyperlink" Target="https://img.quodom.com.ar/producto/545.png" TargetMode="External"/><Relationship Id="rId126" Type="http://schemas.openxmlformats.org/officeDocument/2006/relationships/hyperlink" Target="https://img.quodom.com.ar/producto/132.png" TargetMode="External"/><Relationship Id="rId247" Type="http://schemas.openxmlformats.org/officeDocument/2006/relationships/hyperlink" Target="https://img.quodom.com.ar/producto/412.png" TargetMode="External"/><Relationship Id="rId368" Type="http://schemas.openxmlformats.org/officeDocument/2006/relationships/hyperlink" Target="https://img.quodom.com.ar/producto/544.png" TargetMode="External"/><Relationship Id="rId489" Type="http://schemas.openxmlformats.org/officeDocument/2006/relationships/hyperlink" Target="https://img.quodom.com.ar/producto/666.png" TargetMode="External"/><Relationship Id="rId121" Type="http://schemas.openxmlformats.org/officeDocument/2006/relationships/hyperlink" Target="https://img.quodom.com.ar/producto/127.png" TargetMode="External"/><Relationship Id="rId242" Type="http://schemas.openxmlformats.org/officeDocument/2006/relationships/hyperlink" Target="https://img.quodom.com.ar/producto/406.png" TargetMode="External"/><Relationship Id="rId363" Type="http://schemas.openxmlformats.org/officeDocument/2006/relationships/hyperlink" Target="https://img.quodom.com.ar/producto/539.png" TargetMode="External"/><Relationship Id="rId484" Type="http://schemas.openxmlformats.org/officeDocument/2006/relationships/hyperlink" Target="https://img.quodom.com.ar/producto/661.png" TargetMode="External"/><Relationship Id="rId120" Type="http://schemas.openxmlformats.org/officeDocument/2006/relationships/hyperlink" Target="https://img.quodom.com.ar/producto/126.png" TargetMode="External"/><Relationship Id="rId241" Type="http://schemas.openxmlformats.org/officeDocument/2006/relationships/hyperlink" Target="https://img.quodom.com.ar/producto/405.png" TargetMode="External"/><Relationship Id="rId362" Type="http://schemas.openxmlformats.org/officeDocument/2006/relationships/hyperlink" Target="https://img.quodom.com.ar/producto/538.png" TargetMode="External"/><Relationship Id="rId483" Type="http://schemas.openxmlformats.org/officeDocument/2006/relationships/hyperlink" Target="https://img.quodom.com.ar/producto/660.png" TargetMode="External"/><Relationship Id="rId240" Type="http://schemas.openxmlformats.org/officeDocument/2006/relationships/hyperlink" Target="https://img.quodom.com.ar/producto/404.png" TargetMode="External"/><Relationship Id="rId361" Type="http://schemas.openxmlformats.org/officeDocument/2006/relationships/hyperlink" Target="https://img.quodom.com.ar/producto/537.png" TargetMode="External"/><Relationship Id="rId482" Type="http://schemas.openxmlformats.org/officeDocument/2006/relationships/hyperlink" Target="https://img.quodom.com.ar/producto/659.png" TargetMode="External"/><Relationship Id="rId360" Type="http://schemas.openxmlformats.org/officeDocument/2006/relationships/hyperlink" Target="https://img.quodom.com.ar/producto/536.png" TargetMode="External"/><Relationship Id="rId481" Type="http://schemas.openxmlformats.org/officeDocument/2006/relationships/hyperlink" Target="https://img.quodom.com.ar/producto/658.png" TargetMode="External"/><Relationship Id="rId125" Type="http://schemas.openxmlformats.org/officeDocument/2006/relationships/hyperlink" Target="https://img.quodom.com.ar/producto/131.png" TargetMode="External"/><Relationship Id="rId246" Type="http://schemas.openxmlformats.org/officeDocument/2006/relationships/hyperlink" Target="https://img.quodom.com.ar/producto/411.png" TargetMode="External"/><Relationship Id="rId367" Type="http://schemas.openxmlformats.org/officeDocument/2006/relationships/hyperlink" Target="https://img.quodom.com.ar/producto/543.png" TargetMode="External"/><Relationship Id="rId488" Type="http://schemas.openxmlformats.org/officeDocument/2006/relationships/hyperlink" Target="https://img.quodom.com.ar/producto/665.png" TargetMode="External"/><Relationship Id="rId124" Type="http://schemas.openxmlformats.org/officeDocument/2006/relationships/hyperlink" Target="https://img.quodom.com.ar/producto/130.png" TargetMode="External"/><Relationship Id="rId245" Type="http://schemas.openxmlformats.org/officeDocument/2006/relationships/hyperlink" Target="https://img.quodom.com.ar/producto/409.png" TargetMode="External"/><Relationship Id="rId366" Type="http://schemas.openxmlformats.org/officeDocument/2006/relationships/hyperlink" Target="https://img.quodom.com.ar/producto/542.png" TargetMode="External"/><Relationship Id="rId487" Type="http://schemas.openxmlformats.org/officeDocument/2006/relationships/hyperlink" Target="https://img.quodom.com.ar/producto/664.png" TargetMode="External"/><Relationship Id="rId123" Type="http://schemas.openxmlformats.org/officeDocument/2006/relationships/hyperlink" Target="https://img.quodom.com.ar/producto/129.png" TargetMode="External"/><Relationship Id="rId244" Type="http://schemas.openxmlformats.org/officeDocument/2006/relationships/hyperlink" Target="https://img.quodom.com.ar/producto/408.png" TargetMode="External"/><Relationship Id="rId365" Type="http://schemas.openxmlformats.org/officeDocument/2006/relationships/hyperlink" Target="https://img.quodom.com.ar/producto/541.png" TargetMode="External"/><Relationship Id="rId486" Type="http://schemas.openxmlformats.org/officeDocument/2006/relationships/hyperlink" Target="https://img.quodom.com.ar/producto/663.png" TargetMode="External"/><Relationship Id="rId122" Type="http://schemas.openxmlformats.org/officeDocument/2006/relationships/hyperlink" Target="https://img.quodom.com.ar/producto/128.png" TargetMode="External"/><Relationship Id="rId243" Type="http://schemas.openxmlformats.org/officeDocument/2006/relationships/hyperlink" Target="https://img.quodom.com.ar/producto/407.png" TargetMode="External"/><Relationship Id="rId364" Type="http://schemas.openxmlformats.org/officeDocument/2006/relationships/hyperlink" Target="https://img.quodom.com.ar/producto/540.png" TargetMode="External"/><Relationship Id="rId485" Type="http://schemas.openxmlformats.org/officeDocument/2006/relationships/hyperlink" Target="https://img.quodom.com.ar/producto/662.png" TargetMode="External"/><Relationship Id="rId95" Type="http://schemas.openxmlformats.org/officeDocument/2006/relationships/hyperlink" Target="https://img.quodom.com.ar/producto/101.png" TargetMode="External"/><Relationship Id="rId94" Type="http://schemas.openxmlformats.org/officeDocument/2006/relationships/hyperlink" Target="https://img.quodom.com.ar/producto/100.png" TargetMode="External"/><Relationship Id="rId97" Type="http://schemas.openxmlformats.org/officeDocument/2006/relationships/hyperlink" Target="https://img.quodom.com.ar/producto/103.png" TargetMode="External"/><Relationship Id="rId96" Type="http://schemas.openxmlformats.org/officeDocument/2006/relationships/hyperlink" Target="https://img.quodom.com.ar/producto/102.png" TargetMode="External"/><Relationship Id="rId99" Type="http://schemas.openxmlformats.org/officeDocument/2006/relationships/hyperlink" Target="https://img.quodom.com.ar/producto/105.png" TargetMode="External"/><Relationship Id="rId480" Type="http://schemas.openxmlformats.org/officeDocument/2006/relationships/hyperlink" Target="https://img.quodom.com.ar/producto/657.png" TargetMode="External"/><Relationship Id="rId98" Type="http://schemas.openxmlformats.org/officeDocument/2006/relationships/hyperlink" Target="https://img.quodom.com.ar/producto/104.png" TargetMode="External"/><Relationship Id="rId91" Type="http://schemas.openxmlformats.org/officeDocument/2006/relationships/hyperlink" Target="https://img.quodom.com.ar/producto/97.png" TargetMode="External"/><Relationship Id="rId90" Type="http://schemas.openxmlformats.org/officeDocument/2006/relationships/hyperlink" Target="https://img.quodom.com.ar/producto/96.png" TargetMode="External"/><Relationship Id="rId93" Type="http://schemas.openxmlformats.org/officeDocument/2006/relationships/hyperlink" Target="https://img.quodom.com.ar/producto/99.png" TargetMode="External"/><Relationship Id="rId92" Type="http://schemas.openxmlformats.org/officeDocument/2006/relationships/hyperlink" Target="https://img.quodom.com.ar/producto/98.png" TargetMode="External"/><Relationship Id="rId118" Type="http://schemas.openxmlformats.org/officeDocument/2006/relationships/hyperlink" Target="https://img.quodom.com.ar/producto/124.png" TargetMode="External"/><Relationship Id="rId239" Type="http://schemas.openxmlformats.org/officeDocument/2006/relationships/hyperlink" Target="https://img.quodom.com.ar/producto/403.png" TargetMode="External"/><Relationship Id="rId117" Type="http://schemas.openxmlformats.org/officeDocument/2006/relationships/hyperlink" Target="https://img.quodom.com.ar/producto/123.png" TargetMode="External"/><Relationship Id="rId238" Type="http://schemas.openxmlformats.org/officeDocument/2006/relationships/hyperlink" Target="https://img.quodom.com.ar/producto/402.png" TargetMode="External"/><Relationship Id="rId359" Type="http://schemas.openxmlformats.org/officeDocument/2006/relationships/hyperlink" Target="https://img.quodom.com.ar/producto/535.png" TargetMode="External"/><Relationship Id="rId116" Type="http://schemas.openxmlformats.org/officeDocument/2006/relationships/hyperlink" Target="https://img.quodom.com.ar/producto/122.png" TargetMode="External"/><Relationship Id="rId237" Type="http://schemas.openxmlformats.org/officeDocument/2006/relationships/hyperlink" Target="https://img.quodom.com.ar/producto/401.png" TargetMode="External"/><Relationship Id="rId358" Type="http://schemas.openxmlformats.org/officeDocument/2006/relationships/hyperlink" Target="https://img.quodom.com.ar/producto/534.png" TargetMode="External"/><Relationship Id="rId479" Type="http://schemas.openxmlformats.org/officeDocument/2006/relationships/hyperlink" Target="https://img.quodom.com.ar/producto/656.png" TargetMode="External"/><Relationship Id="rId115" Type="http://schemas.openxmlformats.org/officeDocument/2006/relationships/hyperlink" Target="https://img.quodom.com.ar/producto/121.png" TargetMode="External"/><Relationship Id="rId236" Type="http://schemas.openxmlformats.org/officeDocument/2006/relationships/hyperlink" Target="https://img.quodom.com.ar/producto/394.png" TargetMode="External"/><Relationship Id="rId357" Type="http://schemas.openxmlformats.org/officeDocument/2006/relationships/hyperlink" Target="https://img.quodom.com.ar/producto/533.png" TargetMode="External"/><Relationship Id="rId478" Type="http://schemas.openxmlformats.org/officeDocument/2006/relationships/hyperlink" Target="https://img.quodom.com.ar/producto/655.png" TargetMode="External"/><Relationship Id="rId599" Type="http://schemas.openxmlformats.org/officeDocument/2006/relationships/hyperlink" Target="https://img.quodom.com.ar/producto/786.png" TargetMode="External"/><Relationship Id="rId119" Type="http://schemas.openxmlformats.org/officeDocument/2006/relationships/hyperlink" Target="https://img.quodom.com.ar/producto/125.png" TargetMode="External"/><Relationship Id="rId110" Type="http://schemas.openxmlformats.org/officeDocument/2006/relationships/hyperlink" Target="https://img.quodom.com.ar/producto/116.png" TargetMode="External"/><Relationship Id="rId231" Type="http://schemas.openxmlformats.org/officeDocument/2006/relationships/hyperlink" Target="https://img.quodom.com.ar/producto/385.png" TargetMode="External"/><Relationship Id="rId352" Type="http://schemas.openxmlformats.org/officeDocument/2006/relationships/hyperlink" Target="https://img.quodom.com.ar/producto/528.png" TargetMode="External"/><Relationship Id="rId473" Type="http://schemas.openxmlformats.org/officeDocument/2006/relationships/hyperlink" Target="https://img.quodom.com.ar/producto/650.png" TargetMode="External"/><Relationship Id="rId594" Type="http://schemas.openxmlformats.org/officeDocument/2006/relationships/hyperlink" Target="https://img.quodom.com.ar/producto/781.png" TargetMode="External"/><Relationship Id="rId230" Type="http://schemas.openxmlformats.org/officeDocument/2006/relationships/hyperlink" Target="https://img.quodom.com.ar/producto/384.png" TargetMode="External"/><Relationship Id="rId351" Type="http://schemas.openxmlformats.org/officeDocument/2006/relationships/hyperlink" Target="https://img.quodom.com.ar/producto/527.png" TargetMode="External"/><Relationship Id="rId472" Type="http://schemas.openxmlformats.org/officeDocument/2006/relationships/hyperlink" Target="https://img.quodom.com.ar/producto/649.png" TargetMode="External"/><Relationship Id="rId593" Type="http://schemas.openxmlformats.org/officeDocument/2006/relationships/hyperlink" Target="https://img.quodom.com.ar/producto/780.png" TargetMode="External"/><Relationship Id="rId350" Type="http://schemas.openxmlformats.org/officeDocument/2006/relationships/hyperlink" Target="https://img.quodom.com.ar/producto/526.png" TargetMode="External"/><Relationship Id="rId471" Type="http://schemas.openxmlformats.org/officeDocument/2006/relationships/hyperlink" Target="https://img.quodom.com.ar/producto/648.png" TargetMode="External"/><Relationship Id="rId592" Type="http://schemas.openxmlformats.org/officeDocument/2006/relationships/hyperlink" Target="https://img.quodom.com.ar/producto/779.png" TargetMode="External"/><Relationship Id="rId470" Type="http://schemas.openxmlformats.org/officeDocument/2006/relationships/hyperlink" Target="https://img.quodom.com.ar/producto/647.png" TargetMode="External"/><Relationship Id="rId591" Type="http://schemas.openxmlformats.org/officeDocument/2006/relationships/hyperlink" Target="https://img.quodom.com.ar/producto/773.png" TargetMode="External"/><Relationship Id="rId114" Type="http://schemas.openxmlformats.org/officeDocument/2006/relationships/hyperlink" Target="https://img.quodom.com.ar/producto/120.png" TargetMode="External"/><Relationship Id="rId235" Type="http://schemas.openxmlformats.org/officeDocument/2006/relationships/hyperlink" Target="https://img.quodom.com.ar/producto/393.png" TargetMode="External"/><Relationship Id="rId356" Type="http://schemas.openxmlformats.org/officeDocument/2006/relationships/hyperlink" Target="https://img.quodom.com.ar/producto/532.png" TargetMode="External"/><Relationship Id="rId477" Type="http://schemas.openxmlformats.org/officeDocument/2006/relationships/hyperlink" Target="https://img.quodom.com.ar/producto/654.png" TargetMode="External"/><Relationship Id="rId598" Type="http://schemas.openxmlformats.org/officeDocument/2006/relationships/hyperlink" Target="https://img.quodom.com.ar/producto/785.png" TargetMode="External"/><Relationship Id="rId113" Type="http://schemas.openxmlformats.org/officeDocument/2006/relationships/hyperlink" Target="https://img.quodom.com.ar/producto/119.png" TargetMode="External"/><Relationship Id="rId234" Type="http://schemas.openxmlformats.org/officeDocument/2006/relationships/hyperlink" Target="https://img.quodom.com.ar/producto/392.png" TargetMode="External"/><Relationship Id="rId355" Type="http://schemas.openxmlformats.org/officeDocument/2006/relationships/hyperlink" Target="https://img.quodom.com.ar/producto/531.png" TargetMode="External"/><Relationship Id="rId476" Type="http://schemas.openxmlformats.org/officeDocument/2006/relationships/hyperlink" Target="https://img.quodom.com.ar/producto/653.png" TargetMode="External"/><Relationship Id="rId597" Type="http://schemas.openxmlformats.org/officeDocument/2006/relationships/hyperlink" Target="https://img.quodom.com.ar/producto/784.png" TargetMode="External"/><Relationship Id="rId112" Type="http://schemas.openxmlformats.org/officeDocument/2006/relationships/hyperlink" Target="https://img.quodom.com.ar/producto/118.png" TargetMode="External"/><Relationship Id="rId233" Type="http://schemas.openxmlformats.org/officeDocument/2006/relationships/hyperlink" Target="https://img.quodom.com.ar/producto/391.png" TargetMode="External"/><Relationship Id="rId354" Type="http://schemas.openxmlformats.org/officeDocument/2006/relationships/hyperlink" Target="https://img.quodom.com.ar/producto/530.png" TargetMode="External"/><Relationship Id="rId475" Type="http://schemas.openxmlformats.org/officeDocument/2006/relationships/hyperlink" Target="https://img.quodom.com.ar/producto/652.png" TargetMode="External"/><Relationship Id="rId596" Type="http://schemas.openxmlformats.org/officeDocument/2006/relationships/hyperlink" Target="https://img.quodom.com.ar/producto/783.png" TargetMode="External"/><Relationship Id="rId111" Type="http://schemas.openxmlformats.org/officeDocument/2006/relationships/hyperlink" Target="https://img.quodom.com.ar/producto/117.png" TargetMode="External"/><Relationship Id="rId232" Type="http://schemas.openxmlformats.org/officeDocument/2006/relationships/hyperlink" Target="https://img.quodom.com.ar/producto/388.png" TargetMode="External"/><Relationship Id="rId353" Type="http://schemas.openxmlformats.org/officeDocument/2006/relationships/hyperlink" Target="https://img.quodom.com.ar/producto/529.png" TargetMode="External"/><Relationship Id="rId474" Type="http://schemas.openxmlformats.org/officeDocument/2006/relationships/hyperlink" Target="https://img.quodom.com.ar/producto/651.png" TargetMode="External"/><Relationship Id="rId595" Type="http://schemas.openxmlformats.org/officeDocument/2006/relationships/hyperlink" Target="https://img.quodom.com.ar/producto/782.png" TargetMode="External"/><Relationship Id="rId305" Type="http://schemas.openxmlformats.org/officeDocument/2006/relationships/hyperlink" Target="https://img.quodom.com.ar/producto/481.png" TargetMode="External"/><Relationship Id="rId426" Type="http://schemas.openxmlformats.org/officeDocument/2006/relationships/hyperlink" Target="https://img.quodom.com.ar/producto/603.png" TargetMode="External"/><Relationship Id="rId547" Type="http://schemas.openxmlformats.org/officeDocument/2006/relationships/hyperlink" Target="https://img.quodom.com.ar/producto/729.png" TargetMode="External"/><Relationship Id="rId304" Type="http://schemas.openxmlformats.org/officeDocument/2006/relationships/hyperlink" Target="https://img.quodom.com.ar/producto/480.png" TargetMode="External"/><Relationship Id="rId425" Type="http://schemas.openxmlformats.org/officeDocument/2006/relationships/hyperlink" Target="https://img.quodom.com.ar/producto/602.png" TargetMode="External"/><Relationship Id="rId546" Type="http://schemas.openxmlformats.org/officeDocument/2006/relationships/hyperlink" Target="https://img.quodom.com.ar/producto/728.png" TargetMode="External"/><Relationship Id="rId303" Type="http://schemas.openxmlformats.org/officeDocument/2006/relationships/hyperlink" Target="https://img.quodom.com.ar/producto/479.png" TargetMode="External"/><Relationship Id="rId424" Type="http://schemas.openxmlformats.org/officeDocument/2006/relationships/hyperlink" Target="https://img.quodom.com.ar/producto/601.png" TargetMode="External"/><Relationship Id="rId545" Type="http://schemas.openxmlformats.org/officeDocument/2006/relationships/hyperlink" Target="https://img.quodom.com.ar/producto/727.png" TargetMode="External"/><Relationship Id="rId302" Type="http://schemas.openxmlformats.org/officeDocument/2006/relationships/hyperlink" Target="https://img.quodom.com.ar/producto/478.png" TargetMode="External"/><Relationship Id="rId423" Type="http://schemas.openxmlformats.org/officeDocument/2006/relationships/hyperlink" Target="https://img.quodom.com.ar/producto/600.png" TargetMode="External"/><Relationship Id="rId544" Type="http://schemas.openxmlformats.org/officeDocument/2006/relationships/hyperlink" Target="https://img.quodom.com.ar/producto/726.png" TargetMode="External"/><Relationship Id="rId309" Type="http://schemas.openxmlformats.org/officeDocument/2006/relationships/hyperlink" Target="https://img.quodom.com.ar/producto/485.png" TargetMode="External"/><Relationship Id="rId308" Type="http://schemas.openxmlformats.org/officeDocument/2006/relationships/hyperlink" Target="https://img.quodom.com.ar/producto/484.png" TargetMode="External"/><Relationship Id="rId429" Type="http://schemas.openxmlformats.org/officeDocument/2006/relationships/hyperlink" Target="https://img.quodom.com.ar/producto/606.png" TargetMode="External"/><Relationship Id="rId307" Type="http://schemas.openxmlformats.org/officeDocument/2006/relationships/hyperlink" Target="https://img.quodom.com.ar/producto/483.png" TargetMode="External"/><Relationship Id="rId428" Type="http://schemas.openxmlformats.org/officeDocument/2006/relationships/hyperlink" Target="https://img.quodom.com.ar/producto/605.png" TargetMode="External"/><Relationship Id="rId549" Type="http://schemas.openxmlformats.org/officeDocument/2006/relationships/hyperlink" Target="https://img.quodom.com.ar/producto/731.png" TargetMode="External"/><Relationship Id="rId306" Type="http://schemas.openxmlformats.org/officeDocument/2006/relationships/hyperlink" Target="https://img.quodom.com.ar/producto/482.png" TargetMode="External"/><Relationship Id="rId427" Type="http://schemas.openxmlformats.org/officeDocument/2006/relationships/hyperlink" Target="https://img.quodom.com.ar/producto/604.png" TargetMode="External"/><Relationship Id="rId548" Type="http://schemas.openxmlformats.org/officeDocument/2006/relationships/hyperlink" Target="https://img.quodom.com.ar/producto/730.png" TargetMode="External"/><Relationship Id="rId301" Type="http://schemas.openxmlformats.org/officeDocument/2006/relationships/hyperlink" Target="https://img.quodom.com.ar/producto/477.png" TargetMode="External"/><Relationship Id="rId422" Type="http://schemas.openxmlformats.org/officeDocument/2006/relationships/hyperlink" Target="https://img.quodom.com.ar/producto/599.png" TargetMode="External"/><Relationship Id="rId543" Type="http://schemas.openxmlformats.org/officeDocument/2006/relationships/hyperlink" Target="https://img.quodom.com.ar/producto/725.png" TargetMode="External"/><Relationship Id="rId300" Type="http://schemas.openxmlformats.org/officeDocument/2006/relationships/hyperlink" Target="https://img.quodom.com.ar/producto/476.png" TargetMode="External"/><Relationship Id="rId421" Type="http://schemas.openxmlformats.org/officeDocument/2006/relationships/hyperlink" Target="https://img.quodom.com.ar/producto/598.png" TargetMode="External"/><Relationship Id="rId542" Type="http://schemas.openxmlformats.org/officeDocument/2006/relationships/hyperlink" Target="https://img.quodom.com.ar/producto/724.png" TargetMode="External"/><Relationship Id="rId420" Type="http://schemas.openxmlformats.org/officeDocument/2006/relationships/hyperlink" Target="https://img.quodom.com.ar/producto/597.png" TargetMode="External"/><Relationship Id="rId541" Type="http://schemas.openxmlformats.org/officeDocument/2006/relationships/hyperlink" Target="https://img.quodom.com.ar/producto/723.png" TargetMode="External"/><Relationship Id="rId540" Type="http://schemas.openxmlformats.org/officeDocument/2006/relationships/hyperlink" Target="https://img.quodom.com.ar/producto/722.png" TargetMode="External"/><Relationship Id="rId415" Type="http://schemas.openxmlformats.org/officeDocument/2006/relationships/hyperlink" Target="https://img.quodom.com.ar/producto/592.png" TargetMode="External"/><Relationship Id="rId536" Type="http://schemas.openxmlformats.org/officeDocument/2006/relationships/hyperlink" Target="https://img.quodom.com.ar/producto/718.png" TargetMode="External"/><Relationship Id="rId414" Type="http://schemas.openxmlformats.org/officeDocument/2006/relationships/hyperlink" Target="https://img.quodom.com.ar/producto/591.png" TargetMode="External"/><Relationship Id="rId535" Type="http://schemas.openxmlformats.org/officeDocument/2006/relationships/hyperlink" Target="https://img.quodom.com.ar/producto/717.png" TargetMode="External"/><Relationship Id="rId413" Type="http://schemas.openxmlformats.org/officeDocument/2006/relationships/hyperlink" Target="https://img.quodom.com.ar/producto/590.png" TargetMode="External"/><Relationship Id="rId534" Type="http://schemas.openxmlformats.org/officeDocument/2006/relationships/hyperlink" Target="https://img.quodom.com.ar/producto/716.png" TargetMode="External"/><Relationship Id="rId412" Type="http://schemas.openxmlformats.org/officeDocument/2006/relationships/hyperlink" Target="https://img.quodom.com.ar/producto/589.png" TargetMode="External"/><Relationship Id="rId533" Type="http://schemas.openxmlformats.org/officeDocument/2006/relationships/hyperlink" Target="https://img.quodom.com.ar/producto/715.png" TargetMode="External"/><Relationship Id="rId419" Type="http://schemas.openxmlformats.org/officeDocument/2006/relationships/hyperlink" Target="https://img.quodom.com.ar/producto/596.png" TargetMode="External"/><Relationship Id="rId418" Type="http://schemas.openxmlformats.org/officeDocument/2006/relationships/hyperlink" Target="https://img.quodom.com.ar/producto/595.png" TargetMode="External"/><Relationship Id="rId539" Type="http://schemas.openxmlformats.org/officeDocument/2006/relationships/hyperlink" Target="https://img.quodom.com.ar/producto/721.png" TargetMode="External"/><Relationship Id="rId417" Type="http://schemas.openxmlformats.org/officeDocument/2006/relationships/hyperlink" Target="https://img.quodom.com.ar/producto/594.png" TargetMode="External"/><Relationship Id="rId538" Type="http://schemas.openxmlformats.org/officeDocument/2006/relationships/hyperlink" Target="https://img.quodom.com.ar/producto/720.png" TargetMode="External"/><Relationship Id="rId416" Type="http://schemas.openxmlformats.org/officeDocument/2006/relationships/hyperlink" Target="https://img.quodom.com.ar/producto/593.png" TargetMode="External"/><Relationship Id="rId537" Type="http://schemas.openxmlformats.org/officeDocument/2006/relationships/hyperlink" Target="https://img.quodom.com.ar/producto/719.png" TargetMode="External"/><Relationship Id="rId411" Type="http://schemas.openxmlformats.org/officeDocument/2006/relationships/hyperlink" Target="https://img.quodom.com.ar/producto/588.png" TargetMode="External"/><Relationship Id="rId532" Type="http://schemas.openxmlformats.org/officeDocument/2006/relationships/hyperlink" Target="https://img.quodom.com.ar/producto/714.png" TargetMode="External"/><Relationship Id="rId410" Type="http://schemas.openxmlformats.org/officeDocument/2006/relationships/hyperlink" Target="https://img.quodom.com.ar/producto/587.png" TargetMode="External"/><Relationship Id="rId531" Type="http://schemas.openxmlformats.org/officeDocument/2006/relationships/hyperlink" Target="https://img.quodom.com.ar/producto/713.png" TargetMode="External"/><Relationship Id="rId530" Type="http://schemas.openxmlformats.org/officeDocument/2006/relationships/hyperlink" Target="https://img.quodom.com.ar/producto/712.png" TargetMode="External"/><Relationship Id="rId206" Type="http://schemas.openxmlformats.org/officeDocument/2006/relationships/hyperlink" Target="https://img.quodom.com.ar/producto/228.png" TargetMode="External"/><Relationship Id="rId327" Type="http://schemas.openxmlformats.org/officeDocument/2006/relationships/hyperlink" Target="https://img.quodom.com.ar/producto/503.png" TargetMode="External"/><Relationship Id="rId448" Type="http://schemas.openxmlformats.org/officeDocument/2006/relationships/hyperlink" Target="https://img.quodom.com.ar/producto/625.png" TargetMode="External"/><Relationship Id="rId569" Type="http://schemas.openxmlformats.org/officeDocument/2006/relationships/hyperlink" Target="https://img.quodom.com.ar/producto/751.png" TargetMode="External"/><Relationship Id="rId205" Type="http://schemas.openxmlformats.org/officeDocument/2006/relationships/hyperlink" Target="https://img.quodom.com.ar/producto/227.png" TargetMode="External"/><Relationship Id="rId326" Type="http://schemas.openxmlformats.org/officeDocument/2006/relationships/hyperlink" Target="https://img.quodom.com.ar/producto/502.png" TargetMode="External"/><Relationship Id="rId447" Type="http://schemas.openxmlformats.org/officeDocument/2006/relationships/hyperlink" Target="https://img.quodom.com.ar/producto/624.png" TargetMode="External"/><Relationship Id="rId568" Type="http://schemas.openxmlformats.org/officeDocument/2006/relationships/hyperlink" Target="https://img.quodom.com.ar/producto/750.png" TargetMode="External"/><Relationship Id="rId204" Type="http://schemas.openxmlformats.org/officeDocument/2006/relationships/hyperlink" Target="https://img.quodom.com.ar/producto/226.png" TargetMode="External"/><Relationship Id="rId325" Type="http://schemas.openxmlformats.org/officeDocument/2006/relationships/hyperlink" Target="https://img.quodom.com.ar/producto/501.png" TargetMode="External"/><Relationship Id="rId446" Type="http://schemas.openxmlformats.org/officeDocument/2006/relationships/hyperlink" Target="https://img.quodom.com.ar/producto/623.png" TargetMode="External"/><Relationship Id="rId567" Type="http://schemas.openxmlformats.org/officeDocument/2006/relationships/hyperlink" Target="https://img.quodom.com.ar/producto/749.png" TargetMode="External"/><Relationship Id="rId203" Type="http://schemas.openxmlformats.org/officeDocument/2006/relationships/hyperlink" Target="https://img.quodom.com.ar/producto/225.png" TargetMode="External"/><Relationship Id="rId324" Type="http://schemas.openxmlformats.org/officeDocument/2006/relationships/hyperlink" Target="https://img.quodom.com.ar/producto/500.png" TargetMode="External"/><Relationship Id="rId445" Type="http://schemas.openxmlformats.org/officeDocument/2006/relationships/hyperlink" Target="https://img.quodom.com.ar/producto/622.png" TargetMode="External"/><Relationship Id="rId566" Type="http://schemas.openxmlformats.org/officeDocument/2006/relationships/hyperlink" Target="https://img.quodom.com.ar/producto/748.png" TargetMode="External"/><Relationship Id="rId209" Type="http://schemas.openxmlformats.org/officeDocument/2006/relationships/hyperlink" Target="https://img.quodom.com.ar/producto/231.png" TargetMode="External"/><Relationship Id="rId208" Type="http://schemas.openxmlformats.org/officeDocument/2006/relationships/hyperlink" Target="https://img.quodom.com.ar/producto/230.png" TargetMode="External"/><Relationship Id="rId329" Type="http://schemas.openxmlformats.org/officeDocument/2006/relationships/hyperlink" Target="https://img.quodom.com.ar/producto/505.png" TargetMode="External"/><Relationship Id="rId207" Type="http://schemas.openxmlformats.org/officeDocument/2006/relationships/hyperlink" Target="https://img.quodom.com.ar/producto/229.png" TargetMode="External"/><Relationship Id="rId328" Type="http://schemas.openxmlformats.org/officeDocument/2006/relationships/hyperlink" Target="https://img.quodom.com.ar/producto/504.png" TargetMode="External"/><Relationship Id="rId449" Type="http://schemas.openxmlformats.org/officeDocument/2006/relationships/hyperlink" Target="https://img.quodom.com.ar/producto/626.png" TargetMode="External"/><Relationship Id="rId440" Type="http://schemas.openxmlformats.org/officeDocument/2006/relationships/hyperlink" Target="https://img.quodom.com.ar/producto/617.png" TargetMode="External"/><Relationship Id="rId561" Type="http://schemas.openxmlformats.org/officeDocument/2006/relationships/hyperlink" Target="https://img.quodom.com.ar/producto/743.png" TargetMode="External"/><Relationship Id="rId560" Type="http://schemas.openxmlformats.org/officeDocument/2006/relationships/hyperlink" Target="https://img.quodom.com.ar/producto/742.png" TargetMode="External"/><Relationship Id="rId202" Type="http://schemas.openxmlformats.org/officeDocument/2006/relationships/hyperlink" Target="https://img.quodom.com.ar/producto/224.png" TargetMode="External"/><Relationship Id="rId323" Type="http://schemas.openxmlformats.org/officeDocument/2006/relationships/hyperlink" Target="https://img.quodom.com.ar/producto/499.png" TargetMode="External"/><Relationship Id="rId444" Type="http://schemas.openxmlformats.org/officeDocument/2006/relationships/hyperlink" Target="https://img.quodom.com.ar/producto/621.png" TargetMode="External"/><Relationship Id="rId565" Type="http://schemas.openxmlformats.org/officeDocument/2006/relationships/hyperlink" Target="https://img.quodom.com.ar/producto/747.png" TargetMode="External"/><Relationship Id="rId201" Type="http://schemas.openxmlformats.org/officeDocument/2006/relationships/hyperlink" Target="https://img.quodom.com.ar/producto/223.png" TargetMode="External"/><Relationship Id="rId322" Type="http://schemas.openxmlformats.org/officeDocument/2006/relationships/hyperlink" Target="https://img.quodom.com.ar/producto/498.png" TargetMode="External"/><Relationship Id="rId443" Type="http://schemas.openxmlformats.org/officeDocument/2006/relationships/hyperlink" Target="https://img.quodom.com.ar/producto/620.png" TargetMode="External"/><Relationship Id="rId564" Type="http://schemas.openxmlformats.org/officeDocument/2006/relationships/hyperlink" Target="https://img.quodom.com.ar/producto/746.png" TargetMode="External"/><Relationship Id="rId200" Type="http://schemas.openxmlformats.org/officeDocument/2006/relationships/hyperlink" Target="https://img.quodom.com.ar/producto/222.png" TargetMode="External"/><Relationship Id="rId321" Type="http://schemas.openxmlformats.org/officeDocument/2006/relationships/hyperlink" Target="https://img.quodom.com.ar/producto/497.png" TargetMode="External"/><Relationship Id="rId442" Type="http://schemas.openxmlformats.org/officeDocument/2006/relationships/hyperlink" Target="https://img.quodom.com.ar/producto/619.png" TargetMode="External"/><Relationship Id="rId563" Type="http://schemas.openxmlformats.org/officeDocument/2006/relationships/hyperlink" Target="https://img.quodom.com.ar/producto/745.png" TargetMode="External"/><Relationship Id="rId320" Type="http://schemas.openxmlformats.org/officeDocument/2006/relationships/hyperlink" Target="https://img.quodom.com.ar/producto/496.png" TargetMode="External"/><Relationship Id="rId441" Type="http://schemas.openxmlformats.org/officeDocument/2006/relationships/hyperlink" Target="https://img.quodom.com.ar/producto/618.png" TargetMode="External"/><Relationship Id="rId562" Type="http://schemas.openxmlformats.org/officeDocument/2006/relationships/hyperlink" Target="https://img.quodom.com.ar/producto/744.png" TargetMode="External"/><Relationship Id="rId316" Type="http://schemas.openxmlformats.org/officeDocument/2006/relationships/hyperlink" Target="https://img.quodom.com.ar/producto/492.png" TargetMode="External"/><Relationship Id="rId437" Type="http://schemas.openxmlformats.org/officeDocument/2006/relationships/hyperlink" Target="https://img.quodom.com.ar/producto/614.png" TargetMode="External"/><Relationship Id="rId558" Type="http://schemas.openxmlformats.org/officeDocument/2006/relationships/hyperlink" Target="https://img.quodom.com.ar/producto/740.png" TargetMode="External"/><Relationship Id="rId315" Type="http://schemas.openxmlformats.org/officeDocument/2006/relationships/hyperlink" Target="https://img.quodom.com.ar/producto/491.png" TargetMode="External"/><Relationship Id="rId436" Type="http://schemas.openxmlformats.org/officeDocument/2006/relationships/hyperlink" Target="https://img.quodom.com.ar/producto/613.png" TargetMode="External"/><Relationship Id="rId557" Type="http://schemas.openxmlformats.org/officeDocument/2006/relationships/hyperlink" Target="https://img.quodom.com.ar/producto/739.png" TargetMode="External"/><Relationship Id="rId314" Type="http://schemas.openxmlformats.org/officeDocument/2006/relationships/hyperlink" Target="https://img.quodom.com.ar/producto/490.png" TargetMode="External"/><Relationship Id="rId435" Type="http://schemas.openxmlformats.org/officeDocument/2006/relationships/hyperlink" Target="https://img.quodom.com.ar/producto/612.png" TargetMode="External"/><Relationship Id="rId556" Type="http://schemas.openxmlformats.org/officeDocument/2006/relationships/hyperlink" Target="https://img.quodom.com.ar/producto/738.png" TargetMode="External"/><Relationship Id="rId313" Type="http://schemas.openxmlformats.org/officeDocument/2006/relationships/hyperlink" Target="https://img.quodom.com.ar/producto/489.png" TargetMode="External"/><Relationship Id="rId434" Type="http://schemas.openxmlformats.org/officeDocument/2006/relationships/hyperlink" Target="https://img.quodom.com.ar/producto/611.png" TargetMode="External"/><Relationship Id="rId555" Type="http://schemas.openxmlformats.org/officeDocument/2006/relationships/hyperlink" Target="https://img.quodom.com.ar/producto/737.png" TargetMode="External"/><Relationship Id="rId319" Type="http://schemas.openxmlformats.org/officeDocument/2006/relationships/hyperlink" Target="https://img.quodom.com.ar/producto/495.png" TargetMode="External"/><Relationship Id="rId318" Type="http://schemas.openxmlformats.org/officeDocument/2006/relationships/hyperlink" Target="https://img.quodom.com.ar/producto/494.png" TargetMode="External"/><Relationship Id="rId439" Type="http://schemas.openxmlformats.org/officeDocument/2006/relationships/hyperlink" Target="https://img.quodom.com.ar/producto/616.png" TargetMode="External"/><Relationship Id="rId317" Type="http://schemas.openxmlformats.org/officeDocument/2006/relationships/hyperlink" Target="https://img.quodom.com.ar/producto/493.png" TargetMode="External"/><Relationship Id="rId438" Type="http://schemas.openxmlformats.org/officeDocument/2006/relationships/hyperlink" Target="https://img.quodom.com.ar/producto/615.png" TargetMode="External"/><Relationship Id="rId559" Type="http://schemas.openxmlformats.org/officeDocument/2006/relationships/hyperlink" Target="https://img.quodom.com.ar/producto/741.png" TargetMode="External"/><Relationship Id="rId550" Type="http://schemas.openxmlformats.org/officeDocument/2006/relationships/hyperlink" Target="https://img.quodom.com.ar/producto/732.png" TargetMode="External"/><Relationship Id="rId312" Type="http://schemas.openxmlformats.org/officeDocument/2006/relationships/hyperlink" Target="https://img.quodom.com.ar/producto/488.png" TargetMode="External"/><Relationship Id="rId433" Type="http://schemas.openxmlformats.org/officeDocument/2006/relationships/hyperlink" Target="https://img.quodom.com.ar/producto/610.png" TargetMode="External"/><Relationship Id="rId554" Type="http://schemas.openxmlformats.org/officeDocument/2006/relationships/hyperlink" Target="https://img.quodom.com.ar/producto/736.png" TargetMode="External"/><Relationship Id="rId311" Type="http://schemas.openxmlformats.org/officeDocument/2006/relationships/hyperlink" Target="https://img.quodom.com.ar/producto/487.png" TargetMode="External"/><Relationship Id="rId432" Type="http://schemas.openxmlformats.org/officeDocument/2006/relationships/hyperlink" Target="https://img.quodom.com.ar/producto/609.png" TargetMode="External"/><Relationship Id="rId553" Type="http://schemas.openxmlformats.org/officeDocument/2006/relationships/hyperlink" Target="https://img.quodom.com.ar/producto/735.png" TargetMode="External"/><Relationship Id="rId310" Type="http://schemas.openxmlformats.org/officeDocument/2006/relationships/hyperlink" Target="https://img.quodom.com.ar/producto/486.png" TargetMode="External"/><Relationship Id="rId431" Type="http://schemas.openxmlformats.org/officeDocument/2006/relationships/hyperlink" Target="https://img.quodom.com.ar/producto/608.png" TargetMode="External"/><Relationship Id="rId552" Type="http://schemas.openxmlformats.org/officeDocument/2006/relationships/hyperlink" Target="https://img.quodom.com.ar/producto/734.png" TargetMode="External"/><Relationship Id="rId430" Type="http://schemas.openxmlformats.org/officeDocument/2006/relationships/hyperlink" Target="https://img.quodom.com.ar/producto/607.png" TargetMode="External"/><Relationship Id="rId551" Type="http://schemas.openxmlformats.org/officeDocument/2006/relationships/hyperlink" Target="https://img.quodom.com.ar/producto/733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5.43"/>
    <col customWidth="1" min="3" max="29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4.25" customHeight="1">
      <c r="A2" s="2">
        <v>1.0</v>
      </c>
      <c r="B2" s="2" t="s">
        <v>11</v>
      </c>
      <c r="C2" s="2">
        <v>0.0</v>
      </c>
      <c r="F2" s="2">
        <v>1.0</v>
      </c>
      <c r="G2" s="3" t="s">
        <v>12</v>
      </c>
      <c r="H2" s="2">
        <v>1.0</v>
      </c>
      <c r="I2" s="3" t="s">
        <v>13</v>
      </c>
      <c r="J2" s="2" t="s">
        <v>14</v>
      </c>
      <c r="K2" s="2">
        <v>0.0</v>
      </c>
      <c r="M2" s="4" t="str">
        <f t="shared" ref="M2:M59" si="1">CONCATENATE("update categorias set nombrecategoria='",B2,"' where id=",A2,";")</f>
        <v>update categorias set nombrecategoria='Limpieza' where id=1;</v>
      </c>
    </row>
    <row r="3" ht="14.25" customHeight="1">
      <c r="A3" s="2">
        <v>2.0</v>
      </c>
      <c r="B3" s="2" t="s">
        <v>15</v>
      </c>
      <c r="C3" s="2">
        <v>0.0</v>
      </c>
      <c r="F3" s="2">
        <v>1.0</v>
      </c>
      <c r="G3" s="3" t="s">
        <v>16</v>
      </c>
      <c r="H3" s="2">
        <v>2.0</v>
      </c>
      <c r="I3" s="3" t="s">
        <v>17</v>
      </c>
      <c r="J3" s="2" t="s">
        <v>18</v>
      </c>
      <c r="K3" s="2">
        <v>0.0</v>
      </c>
      <c r="M3" s="4" t="str">
        <f t="shared" si="1"/>
        <v>update categorias set nombrecategoria='Librería' where id=2;</v>
      </c>
    </row>
    <row r="4" ht="14.25" customHeight="1">
      <c r="A4" s="2">
        <v>3.0</v>
      </c>
      <c r="B4" s="2" t="s">
        <v>19</v>
      </c>
      <c r="C4" s="2">
        <v>0.0</v>
      </c>
      <c r="F4" s="2">
        <v>1.0</v>
      </c>
      <c r="G4" s="3" t="s">
        <v>20</v>
      </c>
      <c r="H4" s="2">
        <v>3.0</v>
      </c>
      <c r="I4" s="3" t="s">
        <v>21</v>
      </c>
      <c r="J4" s="2" t="s">
        <v>22</v>
      </c>
      <c r="K4" s="2">
        <v>0.0</v>
      </c>
      <c r="M4" s="4" t="str">
        <f t="shared" si="1"/>
        <v>update categorias set nombrecategoria='Papelera' where id=3;</v>
      </c>
    </row>
    <row r="5" ht="14.25" customHeight="1">
      <c r="A5" s="2">
        <v>4.0</v>
      </c>
      <c r="B5" s="2" t="s">
        <v>23</v>
      </c>
      <c r="C5" s="2">
        <v>0.0</v>
      </c>
      <c r="F5" s="2">
        <v>1.0</v>
      </c>
      <c r="G5" s="3" t="s">
        <v>24</v>
      </c>
      <c r="H5" s="2">
        <v>4.0</v>
      </c>
      <c r="I5" s="3" t="s">
        <v>25</v>
      </c>
      <c r="J5" s="2" t="s">
        <v>26</v>
      </c>
      <c r="K5" s="2">
        <v>0.0</v>
      </c>
      <c r="M5" s="4" t="str">
        <f t="shared" si="1"/>
        <v>update categorias set nombrecategoria='Construcción' where id=4;</v>
      </c>
    </row>
    <row r="6" ht="14.25" customHeight="1">
      <c r="A6" s="2">
        <v>5.0</v>
      </c>
      <c r="B6" s="2" t="s">
        <v>27</v>
      </c>
      <c r="C6" s="2">
        <v>0.0</v>
      </c>
      <c r="F6" s="2">
        <v>1.0</v>
      </c>
      <c r="G6" s="3" t="s">
        <v>28</v>
      </c>
      <c r="H6" s="2">
        <v>5.0</v>
      </c>
      <c r="I6" s="3" t="s">
        <v>29</v>
      </c>
      <c r="J6" s="2" t="s">
        <v>30</v>
      </c>
      <c r="K6" s="2">
        <v>0.0</v>
      </c>
      <c r="M6" s="4" t="str">
        <f t="shared" si="1"/>
        <v>update categorias set nombrecategoria='Pintura' where id=5;</v>
      </c>
    </row>
    <row r="7" ht="14.25" customHeight="1">
      <c r="A7" s="2">
        <v>6.0</v>
      </c>
      <c r="B7" s="2" t="s">
        <v>31</v>
      </c>
      <c r="C7" s="2">
        <v>0.0</v>
      </c>
      <c r="F7" s="2">
        <v>1.0</v>
      </c>
      <c r="G7" s="3" t="s">
        <v>32</v>
      </c>
      <c r="H7" s="2">
        <v>6.0</v>
      </c>
      <c r="I7" s="3" t="s">
        <v>33</v>
      </c>
      <c r="J7" s="2" t="s">
        <v>34</v>
      </c>
      <c r="K7" s="2">
        <v>0.0</v>
      </c>
      <c r="M7" s="4" t="str">
        <f t="shared" si="1"/>
        <v>update categorias set nombrecategoria='Sanitarios' where id=6;</v>
      </c>
    </row>
    <row r="8" ht="14.25" customHeight="1">
      <c r="A8" s="2">
        <v>7.0</v>
      </c>
      <c r="B8" s="2" t="s">
        <v>35</v>
      </c>
      <c r="C8" s="2">
        <v>0.0</v>
      </c>
      <c r="F8" s="2">
        <v>1.0</v>
      </c>
      <c r="G8" s="3" t="s">
        <v>36</v>
      </c>
      <c r="H8" s="2">
        <v>7.0</v>
      </c>
      <c r="I8" s="3" t="s">
        <v>37</v>
      </c>
      <c r="J8" s="2" t="s">
        <v>38</v>
      </c>
      <c r="K8" s="2">
        <v>0.0</v>
      </c>
      <c r="M8" s="4" t="str">
        <f t="shared" si="1"/>
        <v>update categorias set nombrecategoria='Bebidas' where id=7;</v>
      </c>
    </row>
    <row r="9" ht="14.25" customHeight="1">
      <c r="A9" s="2">
        <v>8.0</v>
      </c>
      <c r="B9" s="2" t="s">
        <v>39</v>
      </c>
      <c r="C9" s="2">
        <v>0.0</v>
      </c>
      <c r="F9" s="2">
        <v>1.0</v>
      </c>
      <c r="G9" s="3" t="s">
        <v>40</v>
      </c>
      <c r="H9" s="2">
        <v>8.0</v>
      </c>
      <c r="I9" s="3" t="s">
        <v>41</v>
      </c>
      <c r="J9" s="2" t="s">
        <v>42</v>
      </c>
      <c r="K9" s="2">
        <v>0.0</v>
      </c>
      <c r="M9" s="4" t="str">
        <f t="shared" si="1"/>
        <v>update categorias set nombrecategoria='Seguridad Industrial' where id=8;</v>
      </c>
    </row>
    <row r="10" ht="14.25" customHeight="1">
      <c r="A10" s="2">
        <v>9.0</v>
      </c>
      <c r="B10" s="2" t="s">
        <v>43</v>
      </c>
      <c r="C10" s="2">
        <v>2.0</v>
      </c>
      <c r="F10" s="2">
        <v>1.0</v>
      </c>
      <c r="G10" s="3" t="s">
        <v>44</v>
      </c>
      <c r="H10" s="2">
        <v>9.0</v>
      </c>
      <c r="I10" s="5"/>
      <c r="J10" s="5"/>
      <c r="K10" s="2">
        <v>0.0</v>
      </c>
      <c r="M10" s="4" t="str">
        <f t="shared" si="1"/>
        <v>update categorias set nombrecategoria='Oficina' where id=9;</v>
      </c>
    </row>
    <row r="11" ht="14.25" customHeight="1">
      <c r="A11" s="2">
        <v>10.0</v>
      </c>
      <c r="B11" s="2" t="s">
        <v>45</v>
      </c>
      <c r="C11" s="2">
        <v>2.0</v>
      </c>
      <c r="F11" s="2">
        <v>1.0</v>
      </c>
      <c r="G11" s="3" t="s">
        <v>46</v>
      </c>
      <c r="H11" s="2">
        <v>10.0</v>
      </c>
      <c r="I11" s="5"/>
      <c r="J11" s="5"/>
      <c r="K11" s="2">
        <v>0.0</v>
      </c>
      <c r="M11" s="4" t="str">
        <f t="shared" si="1"/>
        <v>update categorias set nombrecategoria='Escritura' where id=10;</v>
      </c>
    </row>
    <row r="12" ht="14.25" customHeight="1">
      <c r="A12" s="2">
        <v>12.0</v>
      </c>
      <c r="B12" s="2" t="s">
        <v>47</v>
      </c>
      <c r="C12" s="2">
        <v>2.0</v>
      </c>
      <c r="F12" s="2">
        <v>1.0</v>
      </c>
      <c r="G12" s="3" t="s">
        <v>48</v>
      </c>
      <c r="H12" s="2">
        <v>12.0</v>
      </c>
      <c r="I12" s="5"/>
      <c r="J12" s="5"/>
      <c r="K12" s="2">
        <v>0.0</v>
      </c>
      <c r="M12" s="4" t="str">
        <f t="shared" si="1"/>
        <v>update categorias set nombrecategoria='Carpetas y Cuadernos' where id=12;</v>
      </c>
    </row>
    <row r="13" ht="14.25" customHeight="1">
      <c r="A13" s="2">
        <v>13.0</v>
      </c>
      <c r="B13" s="2" t="s">
        <v>49</v>
      </c>
      <c r="C13" s="2">
        <v>2.0</v>
      </c>
      <c r="F13" s="2">
        <v>1.0</v>
      </c>
      <c r="G13" s="3" t="s">
        <v>50</v>
      </c>
      <c r="H13" s="2">
        <v>13.0</v>
      </c>
      <c r="I13" s="5"/>
      <c r="J13" s="5"/>
      <c r="K13" s="2">
        <v>0.0</v>
      </c>
      <c r="M13" s="4" t="str">
        <f t="shared" si="1"/>
        <v>update categorias set nombrecategoria='Artística' where id=13;</v>
      </c>
    </row>
    <row r="14" ht="14.25" customHeight="1">
      <c r="A14" s="2">
        <v>14.0</v>
      </c>
      <c r="B14" s="2" t="s">
        <v>51</v>
      </c>
      <c r="C14" s="2">
        <v>1.0</v>
      </c>
      <c r="F14" s="2">
        <v>1.0</v>
      </c>
      <c r="G14" s="3" t="s">
        <v>52</v>
      </c>
      <c r="H14" s="2">
        <v>14.0</v>
      </c>
      <c r="I14" s="5"/>
      <c r="J14" s="5"/>
      <c r="K14" s="2">
        <v>0.0</v>
      </c>
      <c r="M14" s="4" t="str">
        <f t="shared" si="1"/>
        <v>update categorias set nombrecategoria='Pisos' where id=14;</v>
      </c>
    </row>
    <row r="15" ht="14.25" customHeight="1">
      <c r="A15" s="2">
        <v>15.0</v>
      </c>
      <c r="B15" s="2" t="s">
        <v>53</v>
      </c>
      <c r="C15" s="2">
        <v>1.0</v>
      </c>
      <c r="F15" s="2">
        <v>1.0</v>
      </c>
      <c r="G15" s="3" t="s">
        <v>54</v>
      </c>
      <c r="H15" s="2">
        <v>15.0</v>
      </c>
      <c r="I15" s="5"/>
      <c r="J15" s="5"/>
      <c r="K15" s="2">
        <v>0.0</v>
      </c>
      <c r="M15" s="4" t="str">
        <f t="shared" si="1"/>
        <v>update categorias set nombrecategoria='Lavandería' where id=15;</v>
      </c>
    </row>
    <row r="16" ht="14.25" customHeight="1">
      <c r="A16" s="2">
        <v>16.0</v>
      </c>
      <c r="B16" s="2" t="s">
        <v>55</v>
      </c>
      <c r="C16" s="2">
        <v>1.0</v>
      </c>
      <c r="F16" s="2">
        <v>1.0</v>
      </c>
      <c r="G16" s="3" t="s">
        <v>56</v>
      </c>
      <c r="H16" s="2">
        <v>16.0</v>
      </c>
      <c r="I16" s="5"/>
      <c r="J16" s="5"/>
      <c r="K16" s="2">
        <v>0.0</v>
      </c>
      <c r="M16" s="4" t="str">
        <f t="shared" si="1"/>
        <v>update categorias set nombrecategoria='Cocina' where id=16;</v>
      </c>
    </row>
    <row r="17" ht="14.25" customHeight="1">
      <c r="A17" s="2">
        <v>17.0</v>
      </c>
      <c r="B17" s="2" t="s">
        <v>57</v>
      </c>
      <c r="C17" s="2">
        <v>1.0</v>
      </c>
      <c r="F17" s="2">
        <v>1.0</v>
      </c>
      <c r="G17" s="3" t="s">
        <v>58</v>
      </c>
      <c r="H17" s="2">
        <v>17.0</v>
      </c>
      <c r="I17" s="5"/>
      <c r="J17" s="5"/>
      <c r="K17" s="2">
        <v>0.0</v>
      </c>
      <c r="M17" s="4" t="str">
        <f t="shared" si="1"/>
        <v>update categorias set nombrecategoria='Papelería' where id=17;</v>
      </c>
    </row>
    <row r="18" ht="14.25" customHeight="1">
      <c r="A18" s="2">
        <v>18.0</v>
      </c>
      <c r="B18" s="2" t="s">
        <v>59</v>
      </c>
      <c r="C18" s="2">
        <v>1.0</v>
      </c>
      <c r="F18" s="2">
        <v>1.0</v>
      </c>
      <c r="G18" s="3" t="s">
        <v>60</v>
      </c>
      <c r="H18" s="2">
        <v>18.0</v>
      </c>
      <c r="I18" s="5"/>
      <c r="J18" s="5"/>
      <c r="K18" s="2">
        <v>0.0</v>
      </c>
      <c r="M18" s="4" t="str">
        <f t="shared" si="1"/>
        <v>update categorias set nombrecategoria='Accesorios' where id=18;</v>
      </c>
    </row>
    <row r="19" ht="14.25" customHeight="1">
      <c r="A19" s="2">
        <v>19.0</v>
      </c>
      <c r="B19" s="2" t="s">
        <v>61</v>
      </c>
      <c r="C19" s="2">
        <v>1.0</v>
      </c>
      <c r="F19" s="2">
        <v>1.0</v>
      </c>
      <c r="G19" s="3" t="s">
        <v>62</v>
      </c>
      <c r="H19" s="2">
        <v>19.0</v>
      </c>
      <c r="I19" s="5"/>
      <c r="J19" s="5"/>
      <c r="K19" s="2">
        <v>0.0</v>
      </c>
      <c r="M19" s="4" t="str">
        <f t="shared" si="1"/>
        <v>update categorias set nombrecategoria='Cuidado Personal' where id=19;</v>
      </c>
    </row>
    <row r="20" ht="14.25" customHeight="1">
      <c r="A20" s="2">
        <v>20.0</v>
      </c>
      <c r="B20" s="2" t="s">
        <v>63</v>
      </c>
      <c r="C20" s="2">
        <v>1.0</v>
      </c>
      <c r="F20" s="2">
        <v>1.0</v>
      </c>
      <c r="G20" s="3" t="s">
        <v>64</v>
      </c>
      <c r="H20" s="2">
        <v>20.0</v>
      </c>
      <c r="I20" s="5"/>
      <c r="J20" s="5"/>
      <c r="K20" s="2">
        <v>0.0</v>
      </c>
      <c r="M20" s="4" t="str">
        <f t="shared" si="1"/>
        <v>update categorias set nombrecategoria='Automotor' where id=20;</v>
      </c>
    </row>
    <row r="21" ht="14.25" customHeight="1">
      <c r="A21" s="2">
        <v>21.0</v>
      </c>
      <c r="B21" s="2" t="s">
        <v>65</v>
      </c>
      <c r="C21" s="2">
        <v>1.0</v>
      </c>
      <c r="F21" s="2">
        <v>1.0</v>
      </c>
      <c r="G21" s="3" t="s">
        <v>66</v>
      </c>
      <c r="H21" s="2">
        <v>21.0</v>
      </c>
      <c r="I21" s="5"/>
      <c r="J21" s="5"/>
      <c r="K21" s="2">
        <v>0.0</v>
      </c>
      <c r="M21" s="4" t="str">
        <f t="shared" si="1"/>
        <v>update categorias set nombrecategoria='Piscinas' where id=21;</v>
      </c>
    </row>
    <row r="22" ht="14.25" customHeight="1">
      <c r="A22" s="2">
        <v>22.0</v>
      </c>
      <c r="B22" s="2" t="s">
        <v>57</v>
      </c>
      <c r="C22" s="2">
        <v>3.0</v>
      </c>
      <c r="F22" s="2">
        <v>1.0</v>
      </c>
      <c r="G22" s="3" t="s">
        <v>67</v>
      </c>
      <c r="H22" s="2">
        <v>22.0</v>
      </c>
      <c r="I22" s="5"/>
      <c r="J22" s="5"/>
      <c r="K22" s="2">
        <v>5.0</v>
      </c>
      <c r="M22" s="4" t="str">
        <f t="shared" si="1"/>
        <v>update categorias set nombrecategoria='Papelería' where id=22;</v>
      </c>
    </row>
    <row r="23" ht="14.25" customHeight="1">
      <c r="A23" s="2">
        <v>23.0</v>
      </c>
      <c r="B23" s="2" t="s">
        <v>68</v>
      </c>
      <c r="C23" s="2">
        <v>3.0</v>
      </c>
      <c r="F23" s="2">
        <v>1.0</v>
      </c>
      <c r="G23" s="3" t="s">
        <v>69</v>
      </c>
      <c r="H23" s="2">
        <v>23.0</v>
      </c>
      <c r="I23" s="5"/>
      <c r="J23" s="5"/>
      <c r="K23" s="2">
        <v>5.0</v>
      </c>
      <c r="M23" s="4" t="str">
        <f t="shared" si="1"/>
        <v>update categorias set nombrecategoria='Embalaje' where id=23;</v>
      </c>
    </row>
    <row r="24" ht="14.25" customHeight="1">
      <c r="A24" s="2">
        <v>24.0</v>
      </c>
      <c r="B24" s="2" t="s">
        <v>70</v>
      </c>
      <c r="C24" s="2">
        <v>3.0</v>
      </c>
      <c r="F24" s="2">
        <v>1.0</v>
      </c>
      <c r="G24" s="3" t="s">
        <v>71</v>
      </c>
      <c r="H24" s="2">
        <v>24.0</v>
      </c>
      <c r="I24" s="5"/>
      <c r="J24" s="5"/>
      <c r="K24" s="2">
        <v>5.0</v>
      </c>
      <c r="M24" s="4" t="str">
        <f t="shared" si="1"/>
        <v>update categorias set nombrecategoria='Cintas' where id=24;</v>
      </c>
    </row>
    <row r="25" ht="14.25" customHeight="1">
      <c r="A25" s="2">
        <v>25.0</v>
      </c>
      <c r="B25" s="2" t="s">
        <v>72</v>
      </c>
      <c r="C25" s="2">
        <v>3.0</v>
      </c>
      <c r="F25" s="2">
        <v>1.0</v>
      </c>
      <c r="G25" s="3" t="s">
        <v>73</v>
      </c>
      <c r="H25" s="2">
        <v>25.0</v>
      </c>
      <c r="I25" s="5"/>
      <c r="J25" s="5"/>
      <c r="K25" s="2">
        <v>5.0</v>
      </c>
      <c r="M25" s="4" t="str">
        <f t="shared" si="1"/>
        <v>update categorias set nombrecategoria='Bolsas' where id=25;</v>
      </c>
    </row>
    <row r="26" ht="14.25" customHeight="1">
      <c r="A26" s="2">
        <v>27.0</v>
      </c>
      <c r="B26" s="2" t="s">
        <v>74</v>
      </c>
      <c r="C26" s="2">
        <v>3.0</v>
      </c>
      <c r="F26" s="2">
        <v>1.0</v>
      </c>
      <c r="G26" s="3" t="s">
        <v>75</v>
      </c>
      <c r="H26" s="2">
        <v>27.0</v>
      </c>
      <c r="I26" s="5"/>
      <c r="J26" s="5"/>
      <c r="K26" s="2">
        <v>4.0</v>
      </c>
      <c r="M26" s="4" t="str">
        <f t="shared" si="1"/>
        <v>update categorias set nombrecategoria='Guantes' where id=27;</v>
      </c>
    </row>
    <row r="27" ht="14.25" customHeight="1">
      <c r="A27" s="2">
        <v>29.0</v>
      </c>
      <c r="B27" s="2" t="s">
        <v>43</v>
      </c>
      <c r="C27" s="2">
        <v>3.0</v>
      </c>
      <c r="F27" s="2">
        <v>1.0</v>
      </c>
      <c r="G27" s="3" t="s">
        <v>76</v>
      </c>
      <c r="H27" s="2">
        <v>29.0</v>
      </c>
      <c r="I27" s="5"/>
      <c r="J27" s="5"/>
      <c r="K27" s="2">
        <v>5.0</v>
      </c>
      <c r="M27" s="4" t="str">
        <f t="shared" si="1"/>
        <v>update categorias set nombrecategoria='Oficina' where id=29;</v>
      </c>
    </row>
    <row r="28" ht="14.25" customHeight="1">
      <c r="A28" s="2">
        <v>30.0</v>
      </c>
      <c r="B28" s="2" t="s">
        <v>77</v>
      </c>
      <c r="C28" s="2">
        <v>4.0</v>
      </c>
      <c r="F28" s="2">
        <v>1.0</v>
      </c>
      <c r="G28" s="3" t="s">
        <v>78</v>
      </c>
      <c r="H28" s="2">
        <v>30.0</v>
      </c>
      <c r="I28" s="5"/>
      <c r="J28" s="5"/>
      <c r="K28" s="2">
        <v>0.0</v>
      </c>
      <c r="M28" s="4" t="str">
        <f t="shared" si="1"/>
        <v>update categorias set nombrecategoria='Aridos' where id=30;</v>
      </c>
    </row>
    <row r="29" ht="14.25" customHeight="1">
      <c r="A29" s="2">
        <v>31.0</v>
      </c>
      <c r="B29" s="2" t="s">
        <v>79</v>
      </c>
      <c r="C29" s="2">
        <v>4.0</v>
      </c>
      <c r="F29" s="2">
        <v>1.0</v>
      </c>
      <c r="G29" s="3" t="s">
        <v>80</v>
      </c>
      <c r="H29" s="2">
        <v>31.0</v>
      </c>
      <c r="I29" s="5"/>
      <c r="J29" s="5"/>
      <c r="K29" s="2">
        <v>0.0</v>
      </c>
      <c r="M29" s="4" t="str">
        <f t="shared" si="1"/>
        <v>update categorias set nombrecategoria='Cemento/Adhesivos' where id=31;</v>
      </c>
    </row>
    <row r="30" ht="14.25" customHeight="1">
      <c r="A30" s="2">
        <v>32.0</v>
      </c>
      <c r="B30" s="2" t="s">
        <v>81</v>
      </c>
      <c r="C30" s="2">
        <v>4.0</v>
      </c>
      <c r="F30" s="2">
        <v>1.0</v>
      </c>
      <c r="G30" s="3" t="s">
        <v>82</v>
      </c>
      <c r="H30" s="2">
        <v>32.0</v>
      </c>
      <c r="I30" s="5"/>
      <c r="J30" s="5"/>
      <c r="K30" s="2">
        <v>0.0</v>
      </c>
      <c r="M30" s="4" t="str">
        <f t="shared" si="1"/>
        <v>update categorias set nombrecategoria='Ladrillos y Hormigón' where id=32;</v>
      </c>
    </row>
    <row r="31" ht="14.25" customHeight="1">
      <c r="A31" s="2">
        <v>33.0</v>
      </c>
      <c r="B31" s="2" t="s">
        <v>83</v>
      </c>
      <c r="C31" s="2">
        <v>4.0</v>
      </c>
      <c r="F31" s="2">
        <v>1.0</v>
      </c>
      <c r="G31" s="3" t="s">
        <v>84</v>
      </c>
      <c r="H31" s="2">
        <v>33.0</v>
      </c>
      <c r="I31" s="5"/>
      <c r="J31" s="5"/>
      <c r="K31" s="2">
        <v>0.0</v>
      </c>
      <c r="M31" s="4" t="str">
        <f t="shared" si="1"/>
        <v>update categorias set nombrecategoria='Hierros' where id=33;</v>
      </c>
    </row>
    <row r="32" ht="14.25" customHeight="1">
      <c r="A32" s="2">
        <v>34.0</v>
      </c>
      <c r="B32" s="2" t="s">
        <v>85</v>
      </c>
      <c r="C32" s="2">
        <v>4.0</v>
      </c>
      <c r="F32" s="2">
        <v>1.0</v>
      </c>
      <c r="G32" s="3" t="s">
        <v>86</v>
      </c>
      <c r="H32" s="2">
        <v>34.0</v>
      </c>
      <c r="I32" s="5"/>
      <c r="J32" s="5"/>
      <c r="K32" s="2">
        <v>0.0</v>
      </c>
      <c r="M32" s="4" t="str">
        <f t="shared" si="1"/>
        <v>update categorias set nombrecategoria='Impermeabilizantes' where id=34;</v>
      </c>
    </row>
    <row r="33" ht="14.25" customHeight="1">
      <c r="A33" s="2">
        <v>35.0</v>
      </c>
      <c r="B33" s="2" t="s">
        <v>87</v>
      </c>
      <c r="C33" s="2">
        <v>5.0</v>
      </c>
      <c r="F33" s="2">
        <v>1.0</v>
      </c>
      <c r="G33" s="3" t="s">
        <v>88</v>
      </c>
      <c r="H33" s="2">
        <v>35.0</v>
      </c>
      <c r="I33" s="5"/>
      <c r="J33" s="5"/>
      <c r="K33" s="2">
        <v>0.0</v>
      </c>
      <c r="M33" s="4" t="str">
        <f t="shared" si="1"/>
        <v>update categorias set nombrecategoria='Latex' where id=35;</v>
      </c>
    </row>
    <row r="34" ht="14.25" customHeight="1">
      <c r="A34" s="2">
        <v>36.0</v>
      </c>
      <c r="B34" s="2" t="s">
        <v>89</v>
      </c>
      <c r="C34" s="2">
        <v>5.0</v>
      </c>
      <c r="F34" s="2">
        <v>1.0</v>
      </c>
      <c r="G34" s="3" t="s">
        <v>90</v>
      </c>
      <c r="H34" s="2">
        <v>36.0</v>
      </c>
      <c r="I34" s="5"/>
      <c r="J34" s="5"/>
      <c r="K34" s="2">
        <v>0.0</v>
      </c>
      <c r="M34" s="4" t="str">
        <f t="shared" si="1"/>
        <v>update categorias set nombrecategoria='Esmaltes' where id=36;</v>
      </c>
    </row>
    <row r="35" ht="14.25" customHeight="1">
      <c r="A35" s="2">
        <v>37.0</v>
      </c>
      <c r="B35" s="2" t="s">
        <v>91</v>
      </c>
      <c r="C35" s="2">
        <v>5.0</v>
      </c>
      <c r="F35" s="2">
        <v>1.0</v>
      </c>
      <c r="G35" s="3" t="s">
        <v>92</v>
      </c>
      <c r="H35" s="2">
        <v>37.0</v>
      </c>
      <c r="I35" s="5"/>
      <c r="J35" s="5"/>
      <c r="K35" s="2">
        <v>0.0</v>
      </c>
      <c r="M35" s="4" t="str">
        <f t="shared" si="1"/>
        <v>update categorias set nombrecategoria='Madera' where id=37;</v>
      </c>
    </row>
    <row r="36" ht="14.25" customHeight="1">
      <c r="A36" s="2">
        <v>39.0</v>
      </c>
      <c r="B36" s="2" t="s">
        <v>59</v>
      </c>
      <c r="C36" s="2">
        <v>5.0</v>
      </c>
      <c r="F36" s="2">
        <v>1.0</v>
      </c>
      <c r="G36" s="3" t="s">
        <v>93</v>
      </c>
      <c r="H36" s="2">
        <v>39.0</v>
      </c>
      <c r="I36" s="5"/>
      <c r="J36" s="5"/>
      <c r="K36" s="2">
        <v>0.0</v>
      </c>
      <c r="M36" s="4" t="str">
        <f t="shared" si="1"/>
        <v>update categorias set nombrecategoria='Accesorios' where id=39;</v>
      </c>
    </row>
    <row r="37" ht="14.25" customHeight="1">
      <c r="A37" s="2">
        <v>40.0</v>
      </c>
      <c r="B37" s="2" t="s">
        <v>94</v>
      </c>
      <c r="C37" s="2">
        <v>5.0</v>
      </c>
      <c r="F37" s="2">
        <v>1.0</v>
      </c>
      <c r="G37" s="3" t="s">
        <v>95</v>
      </c>
      <c r="H37" s="2">
        <v>40.0</v>
      </c>
      <c r="I37" s="5"/>
      <c r="J37" s="5"/>
      <c r="K37" s="2">
        <v>0.0</v>
      </c>
      <c r="M37" s="4" t="str">
        <f t="shared" si="1"/>
        <v>update categorias set nombrecategoria='Superficie' where id=40;</v>
      </c>
    </row>
    <row r="38" ht="14.25" customHeight="1">
      <c r="A38" s="2">
        <v>41.0</v>
      </c>
      <c r="B38" s="2" t="s">
        <v>96</v>
      </c>
      <c r="C38" s="2">
        <v>6.0</v>
      </c>
      <c r="F38" s="2">
        <v>1.0</v>
      </c>
      <c r="G38" s="3" t="s">
        <v>97</v>
      </c>
      <c r="H38" s="2">
        <v>41.0</v>
      </c>
      <c r="I38" s="5"/>
      <c r="J38" s="5"/>
      <c r="K38" s="2">
        <v>0.0</v>
      </c>
      <c r="M38" s="4" t="str">
        <f t="shared" si="1"/>
        <v>update categorias set nombrecategoria='Termofusión' where id=41;</v>
      </c>
    </row>
    <row r="39" ht="14.25" customHeight="1">
      <c r="A39" s="2">
        <v>42.0</v>
      </c>
      <c r="B39" s="2" t="s">
        <v>98</v>
      </c>
      <c r="C39" s="2">
        <v>6.0</v>
      </c>
      <c r="F39" s="2">
        <v>1.0</v>
      </c>
      <c r="G39" s="3" t="s">
        <v>99</v>
      </c>
      <c r="H39" s="2">
        <v>42.0</v>
      </c>
      <c r="I39" s="5"/>
      <c r="J39" s="5"/>
      <c r="K39" s="2">
        <v>0.0</v>
      </c>
      <c r="M39" s="4" t="str">
        <f t="shared" si="1"/>
        <v>update categorias set nombrecategoria='Tanques' where id=42;</v>
      </c>
    </row>
    <row r="40" ht="14.25" customHeight="1">
      <c r="A40" s="2">
        <v>43.0</v>
      </c>
      <c r="B40" s="2" t="s">
        <v>100</v>
      </c>
      <c r="C40" s="2">
        <v>6.0</v>
      </c>
      <c r="F40" s="2">
        <v>1.0</v>
      </c>
      <c r="G40" s="3" t="s">
        <v>101</v>
      </c>
      <c r="H40" s="2">
        <v>43.0</v>
      </c>
      <c r="I40" s="5"/>
      <c r="J40" s="5"/>
      <c r="K40" s="2">
        <v>0.0</v>
      </c>
      <c r="M40" s="4" t="str">
        <f t="shared" si="1"/>
        <v>update categorias set nombrecategoria='Desagüe' where id=43;</v>
      </c>
    </row>
    <row r="41" ht="14.25" customHeight="1">
      <c r="A41" s="2">
        <v>44.0</v>
      </c>
      <c r="B41" s="2" t="s">
        <v>102</v>
      </c>
      <c r="C41" s="2">
        <v>6.0</v>
      </c>
      <c r="F41" s="2">
        <v>1.0</v>
      </c>
      <c r="G41" s="3" t="s">
        <v>103</v>
      </c>
      <c r="H41" s="2">
        <v>44.0</v>
      </c>
      <c r="I41" s="5"/>
      <c r="J41" s="5"/>
      <c r="K41" s="2">
        <v>0.0</v>
      </c>
      <c r="M41" s="4" t="str">
        <f t="shared" si="1"/>
        <v>update categorias set nombrecategoria='Herramientas' where id=44;</v>
      </c>
    </row>
    <row r="42" ht="14.25" customHeight="1">
      <c r="A42" s="2">
        <v>45.0</v>
      </c>
      <c r="B42" s="2" t="s">
        <v>104</v>
      </c>
      <c r="C42" s="2">
        <v>7.0</v>
      </c>
      <c r="F42" s="2">
        <v>1.0</v>
      </c>
      <c r="G42" s="3" t="s">
        <v>105</v>
      </c>
      <c r="H42" s="2">
        <v>45.0</v>
      </c>
      <c r="I42" s="5"/>
      <c r="J42" s="5"/>
      <c r="K42" s="2">
        <v>0.0</v>
      </c>
      <c r="M42" s="4" t="str">
        <f t="shared" si="1"/>
        <v>update categorias set nombrecategoria='Gaseosas' where id=45;</v>
      </c>
    </row>
    <row r="43" ht="14.25" customHeight="1">
      <c r="A43" s="2">
        <v>46.0</v>
      </c>
      <c r="B43" s="2" t="s">
        <v>106</v>
      </c>
      <c r="C43" s="2">
        <v>7.0</v>
      </c>
      <c r="F43" s="2">
        <v>1.0</v>
      </c>
      <c r="G43" s="3" t="s">
        <v>107</v>
      </c>
      <c r="H43" s="2">
        <v>46.0</v>
      </c>
      <c r="I43" s="5"/>
      <c r="J43" s="5"/>
      <c r="K43" s="2">
        <v>0.0</v>
      </c>
      <c r="M43" s="4" t="str">
        <f t="shared" si="1"/>
        <v>update categorias set nombrecategoria='Cervezas' where id=46;</v>
      </c>
    </row>
    <row r="44" ht="14.25" customHeight="1">
      <c r="A44" s="2">
        <v>47.0</v>
      </c>
      <c r="B44" s="2" t="s">
        <v>108</v>
      </c>
      <c r="C44" s="2">
        <v>7.0</v>
      </c>
      <c r="F44" s="2">
        <v>1.0</v>
      </c>
      <c r="G44" s="3" t="s">
        <v>109</v>
      </c>
      <c r="H44" s="2">
        <v>47.0</v>
      </c>
      <c r="I44" s="5"/>
      <c r="J44" s="5"/>
      <c r="K44" s="2">
        <v>0.0</v>
      </c>
      <c r="M44" s="4" t="str">
        <f t="shared" si="1"/>
        <v>update categorias set nombrecategoria='Aguas y jugos' where id=47;</v>
      </c>
    </row>
    <row r="45" ht="14.25" customHeight="1">
      <c r="A45" s="2">
        <v>48.0</v>
      </c>
      <c r="B45" s="2" t="s">
        <v>110</v>
      </c>
      <c r="C45" s="2">
        <v>7.0</v>
      </c>
      <c r="F45" s="2">
        <v>1.0</v>
      </c>
      <c r="G45" s="3" t="s">
        <v>111</v>
      </c>
      <c r="H45" s="2">
        <v>48.0</v>
      </c>
      <c r="I45" s="5"/>
      <c r="J45" s="5"/>
      <c r="K45" s="2">
        <v>0.0</v>
      </c>
      <c r="M45" s="4" t="str">
        <f t="shared" si="1"/>
        <v>update categorias set nombrecategoria='Aperitivos' where id=48;</v>
      </c>
    </row>
    <row r="46" ht="14.25" customHeight="1">
      <c r="A46" s="2">
        <v>49.0</v>
      </c>
      <c r="B46" s="2" t="s">
        <v>112</v>
      </c>
      <c r="C46" s="2">
        <v>7.0</v>
      </c>
      <c r="F46" s="2">
        <v>1.0</v>
      </c>
      <c r="G46" s="3" t="s">
        <v>113</v>
      </c>
      <c r="H46" s="2">
        <v>49.0</v>
      </c>
      <c r="I46" s="5"/>
      <c r="J46" s="5"/>
      <c r="K46" s="2">
        <v>0.0</v>
      </c>
      <c r="M46" s="4" t="str">
        <f t="shared" si="1"/>
        <v>update categorias set nombrecategoria='Vinos' where id=49;</v>
      </c>
    </row>
    <row r="47" ht="14.25" customHeight="1">
      <c r="A47" s="2">
        <v>50.0</v>
      </c>
      <c r="B47" s="2" t="s">
        <v>114</v>
      </c>
      <c r="C47" s="2">
        <v>7.0</v>
      </c>
      <c r="F47" s="2">
        <v>1.0</v>
      </c>
      <c r="G47" s="3" t="s">
        <v>115</v>
      </c>
      <c r="H47" s="2">
        <v>50.0</v>
      </c>
      <c r="I47" s="5"/>
      <c r="J47" s="5"/>
      <c r="K47" s="2">
        <v>0.0</v>
      </c>
      <c r="M47" s="4" t="str">
        <f t="shared" si="1"/>
        <v>update categorias set nombrecategoria='Energizantes' where id=50;</v>
      </c>
    </row>
    <row r="48" ht="14.25" customHeight="1">
      <c r="A48" s="2">
        <v>51.0</v>
      </c>
      <c r="B48" s="2" t="s">
        <v>116</v>
      </c>
      <c r="C48" s="2">
        <v>7.0</v>
      </c>
      <c r="F48" s="2">
        <v>1.0</v>
      </c>
      <c r="G48" s="3" t="s">
        <v>117</v>
      </c>
      <c r="H48" s="2">
        <v>51.0</v>
      </c>
      <c r="I48" s="5"/>
      <c r="J48" s="5"/>
      <c r="K48" s="2">
        <v>0.0</v>
      </c>
      <c r="M48" s="4" t="str">
        <f t="shared" si="1"/>
        <v>update categorias set nombrecategoria='Licores' where id=51;</v>
      </c>
    </row>
    <row r="49" ht="14.25" customHeight="1">
      <c r="A49" s="2">
        <v>52.0</v>
      </c>
      <c r="B49" s="2" t="s">
        <v>118</v>
      </c>
      <c r="C49" s="2">
        <v>7.0</v>
      </c>
      <c r="F49" s="2">
        <v>1.0</v>
      </c>
      <c r="G49" s="3" t="s">
        <v>119</v>
      </c>
      <c r="H49" s="2">
        <v>52.0</v>
      </c>
      <c r="I49" s="5"/>
      <c r="J49" s="5"/>
      <c r="K49" s="2">
        <v>0.0</v>
      </c>
      <c r="M49" s="4" t="str">
        <f t="shared" si="1"/>
        <v>update categorias set nombrecategoria='Whisky' where id=52;</v>
      </c>
    </row>
    <row r="50" ht="14.25" customHeight="1">
      <c r="A50" s="2">
        <v>53.0</v>
      </c>
      <c r="B50" s="2" t="s">
        <v>120</v>
      </c>
      <c r="C50" s="2">
        <v>7.0</v>
      </c>
      <c r="F50" s="2">
        <v>1.0</v>
      </c>
      <c r="G50" s="3" t="s">
        <v>121</v>
      </c>
      <c r="H50" s="2">
        <v>53.0</v>
      </c>
      <c r="I50" s="5"/>
      <c r="J50" s="5"/>
      <c r="K50" s="2">
        <v>0.0</v>
      </c>
      <c r="M50" s="4" t="str">
        <f t="shared" si="1"/>
        <v>update categorias set nombrecategoria='Vodka' where id=53;</v>
      </c>
    </row>
    <row r="51" ht="14.25" customHeight="1">
      <c r="A51" s="2">
        <v>54.0</v>
      </c>
      <c r="B51" s="2" t="s">
        <v>122</v>
      </c>
      <c r="C51" s="2">
        <v>8.0</v>
      </c>
      <c r="F51" s="2">
        <v>1.0</v>
      </c>
      <c r="G51" s="3" t="s">
        <v>123</v>
      </c>
      <c r="H51" s="2">
        <v>54.0</v>
      </c>
      <c r="I51" s="5"/>
      <c r="J51" s="5"/>
      <c r="K51" s="2">
        <v>0.0</v>
      </c>
      <c r="M51" s="4" t="str">
        <f t="shared" si="1"/>
        <v>update categorias set nombrecategoria='Indumentaria' where id=54;</v>
      </c>
    </row>
    <row r="52" ht="14.25" customHeight="1">
      <c r="A52" s="2">
        <v>55.0</v>
      </c>
      <c r="B52" s="2" t="s">
        <v>124</v>
      </c>
      <c r="C52" s="2">
        <v>8.0</v>
      </c>
      <c r="F52" s="2">
        <v>1.0</v>
      </c>
      <c r="G52" s="3" t="s">
        <v>125</v>
      </c>
      <c r="H52" s="2">
        <v>55.0</v>
      </c>
      <c r="I52" s="5"/>
      <c r="J52" s="5"/>
      <c r="K52" s="2">
        <v>0.0</v>
      </c>
      <c r="M52" s="4" t="str">
        <f t="shared" si="1"/>
        <v>update categorias set nombrecategoria='Auditiva y ocular' where id=55;</v>
      </c>
    </row>
    <row r="53" ht="14.25" customHeight="1">
      <c r="A53" s="2">
        <v>56.0</v>
      </c>
      <c r="B53" s="2" t="s">
        <v>126</v>
      </c>
      <c r="C53" s="2">
        <v>8.0</v>
      </c>
      <c r="F53" s="2">
        <v>1.0</v>
      </c>
      <c r="G53" s="3" t="s">
        <v>127</v>
      </c>
      <c r="H53" s="2">
        <v>56.0</v>
      </c>
      <c r="I53" s="5"/>
      <c r="J53" s="5"/>
      <c r="K53" s="2">
        <v>0.0</v>
      </c>
      <c r="M53" s="4" t="str">
        <f t="shared" si="1"/>
        <v>update categorias set nombrecategoria='Craneana y facial' where id=56;</v>
      </c>
    </row>
    <row r="54" ht="14.25" customHeight="1">
      <c r="A54" s="2">
        <v>57.0</v>
      </c>
      <c r="B54" s="2" t="s">
        <v>128</v>
      </c>
      <c r="C54" s="2">
        <v>8.0</v>
      </c>
      <c r="F54" s="2">
        <v>1.0</v>
      </c>
      <c r="G54" s="3" t="s">
        <v>129</v>
      </c>
      <c r="H54" s="2">
        <v>57.0</v>
      </c>
      <c r="I54" s="5"/>
      <c r="J54" s="5"/>
      <c r="K54" s="2">
        <v>0.0</v>
      </c>
      <c r="M54" s="4" t="str">
        <f t="shared" si="1"/>
        <v>update categorias set nombrecategoria='Respiratoria' where id=57;</v>
      </c>
    </row>
    <row r="55" ht="14.25" customHeight="1">
      <c r="A55" s="2">
        <v>58.0</v>
      </c>
      <c r="B55" s="2" t="s">
        <v>74</v>
      </c>
      <c r="C55" s="2">
        <v>8.0</v>
      </c>
      <c r="F55" s="2">
        <v>1.0</v>
      </c>
      <c r="G55" s="3" t="s">
        <v>130</v>
      </c>
      <c r="H55" s="2">
        <v>58.0</v>
      </c>
      <c r="I55" s="5"/>
      <c r="J55" s="5"/>
      <c r="K55" s="2">
        <v>0.0</v>
      </c>
      <c r="M55" s="4" t="str">
        <f t="shared" si="1"/>
        <v>update categorias set nombrecategoria='Guantes' where id=58;</v>
      </c>
    </row>
    <row r="56" ht="14.25" customHeight="1">
      <c r="A56" s="2">
        <v>59.0</v>
      </c>
      <c r="B56" s="2" t="s">
        <v>59</v>
      </c>
      <c r="C56" s="2">
        <v>8.0</v>
      </c>
      <c r="F56" s="2">
        <v>1.0</v>
      </c>
      <c r="G56" s="3" t="s">
        <v>131</v>
      </c>
      <c r="H56" s="2">
        <v>59.0</v>
      </c>
      <c r="I56" s="5"/>
      <c r="J56" s="5"/>
      <c r="K56" s="2">
        <v>0.0</v>
      </c>
      <c r="M56" s="4" t="str">
        <f t="shared" si="1"/>
        <v>update categorias set nombrecategoria='Accesorios' where id=59;</v>
      </c>
    </row>
    <row r="57" ht="14.25" customHeight="1">
      <c r="A57" s="2">
        <v>60.0</v>
      </c>
      <c r="B57" s="2" t="s">
        <v>132</v>
      </c>
      <c r="C57" s="2">
        <v>3.0</v>
      </c>
      <c r="F57" s="2">
        <v>1.0</v>
      </c>
      <c r="G57" s="3" t="s">
        <v>133</v>
      </c>
      <c r="H57" s="2" t="s">
        <v>134</v>
      </c>
      <c r="I57" s="5"/>
      <c r="J57" s="5"/>
      <c r="K57" s="2">
        <v>1.0</v>
      </c>
      <c r="M57" s="4" t="str">
        <f t="shared" si="1"/>
        <v>update categorias set nombrecategoria='Aluminio' where id=60;</v>
      </c>
    </row>
    <row r="58" ht="14.25" customHeight="1">
      <c r="A58" s="2">
        <v>61.0</v>
      </c>
      <c r="B58" s="2" t="s">
        <v>135</v>
      </c>
      <c r="C58" s="2">
        <v>3.0</v>
      </c>
      <c r="F58" s="2">
        <v>1.0</v>
      </c>
      <c r="G58" s="3" t="s">
        <v>136</v>
      </c>
      <c r="H58" s="2" t="s">
        <v>137</v>
      </c>
      <c r="I58" s="5"/>
      <c r="J58" s="5"/>
      <c r="K58" s="2">
        <v>3.0</v>
      </c>
      <c r="M58" s="4" t="str">
        <f t="shared" si="1"/>
        <v>update categorias set nombrecategoria='Cartón' where id=61;</v>
      </c>
    </row>
    <row r="59" ht="14.25" customHeight="1">
      <c r="A59" s="2">
        <v>62.0</v>
      </c>
      <c r="B59" s="2" t="s">
        <v>138</v>
      </c>
      <c r="C59" s="2">
        <v>3.0</v>
      </c>
      <c r="F59" s="2">
        <v>1.0</v>
      </c>
      <c r="G59" s="3" t="s">
        <v>139</v>
      </c>
      <c r="H59" s="2" t="s">
        <v>140</v>
      </c>
      <c r="I59" s="5"/>
      <c r="J59" s="5"/>
      <c r="K59" s="2">
        <v>2.0</v>
      </c>
      <c r="M59" s="4" t="str">
        <f t="shared" si="1"/>
        <v>update categorias set nombrecategoria='Gastronomía' where id=62;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customSheetViews>
    <customSheetView guid="{EA9958EB-E1F6-42CC-827E-87EC05B4395D}" filter="1" showAutoFilter="1">
      <autoFilter ref="$A$1:$I$999"/>
      <extLst>
        <ext uri="GoogleSheetsCustomDataVersion1">
          <go:sheetsCustomData xmlns:go="http://customooxmlschemas.google.com/" filterViewId="140584048"/>
        </ext>
      </extLst>
    </customSheetView>
    <customSheetView guid="{D43693DD-E232-4E10-840E-AFEDF1F30652}" filter="1" showAutoFilter="1">
      <autoFilter ref="$A$1:$I$999">
        <filterColumn colId="2">
          <filters>
            <filter val="0"/>
            <filter val="7"/>
          </filters>
        </filterColumn>
      </autoFilter>
      <extLst>
        <ext uri="GoogleSheetsCustomDataVersion1">
          <go:sheetsCustomData xmlns:go="http://customooxmlschemas.google.com/" filterViewId="524254600"/>
        </ext>
      </extLst>
    </customSheetView>
  </customSheetViews>
  <hyperlinks>
    <hyperlink r:id="rId1" ref="G2"/>
    <hyperlink r:id="rId2" ref="I2"/>
    <hyperlink r:id="rId3" ref="G3"/>
    <hyperlink r:id="rId4" ref="I3"/>
    <hyperlink r:id="rId5" ref="G4"/>
    <hyperlink r:id="rId6" ref="I4"/>
    <hyperlink r:id="rId7" ref="G5"/>
    <hyperlink r:id="rId8" ref="I5"/>
    <hyperlink r:id="rId9" ref="G6"/>
    <hyperlink r:id="rId10" ref="I6"/>
    <hyperlink r:id="rId11" ref="G7"/>
    <hyperlink r:id="rId12" ref="I7"/>
    <hyperlink r:id="rId13" ref="G8"/>
    <hyperlink r:id="rId14" ref="I8"/>
    <hyperlink r:id="rId15" ref="G9"/>
    <hyperlink r:id="rId16" ref="I9"/>
    <hyperlink r:id="rId17" ref="G10"/>
    <hyperlink r:id="rId18" ref="G11"/>
    <hyperlink r:id="rId19" ref="G12"/>
    <hyperlink r:id="rId20" ref="G13"/>
    <hyperlink r:id="rId21" ref="G14"/>
    <hyperlink r:id="rId22" ref="G15"/>
    <hyperlink r:id="rId23" ref="G16"/>
    <hyperlink r:id="rId24" ref="G17"/>
    <hyperlink r:id="rId25" ref="G18"/>
    <hyperlink r:id="rId26" ref="G19"/>
    <hyperlink r:id="rId27" ref="G20"/>
    <hyperlink r:id="rId28" ref="G21"/>
    <hyperlink r:id="rId29" ref="G22"/>
    <hyperlink r:id="rId30" ref="G23"/>
    <hyperlink r:id="rId31" ref="G24"/>
    <hyperlink r:id="rId32" ref="G25"/>
    <hyperlink r:id="rId33" ref="G26"/>
    <hyperlink r:id="rId34" ref="G27"/>
    <hyperlink r:id="rId35" ref="G28"/>
    <hyperlink r:id="rId36" ref="G29"/>
    <hyperlink r:id="rId37" ref="G30"/>
    <hyperlink r:id="rId38" ref="G31"/>
    <hyperlink r:id="rId39" ref="G32"/>
    <hyperlink r:id="rId40" ref="G33"/>
    <hyperlink r:id="rId41" ref="G34"/>
    <hyperlink r:id="rId42" ref="G35"/>
    <hyperlink r:id="rId43" ref="G36"/>
    <hyperlink r:id="rId44" ref="G37"/>
    <hyperlink r:id="rId45" ref="G38"/>
    <hyperlink r:id="rId46" ref="G39"/>
    <hyperlink r:id="rId47" ref="G40"/>
    <hyperlink r:id="rId48" ref="G41"/>
    <hyperlink r:id="rId49" ref="G42"/>
    <hyperlink r:id="rId50" ref="G43"/>
    <hyperlink r:id="rId51" ref="G44"/>
    <hyperlink r:id="rId52" ref="G45"/>
    <hyperlink r:id="rId53" ref="G46"/>
    <hyperlink r:id="rId54" ref="G47"/>
    <hyperlink r:id="rId55" ref="G48"/>
    <hyperlink r:id="rId56" ref="G49"/>
    <hyperlink r:id="rId57" ref="G50"/>
    <hyperlink r:id="rId58" ref="G51"/>
    <hyperlink r:id="rId59" ref="G52"/>
    <hyperlink r:id="rId60" ref="G53"/>
    <hyperlink r:id="rId61" ref="G54"/>
    <hyperlink r:id="rId62" ref="G55"/>
    <hyperlink r:id="rId63" ref="G56"/>
    <hyperlink r:id="rId64" ref="G57"/>
    <hyperlink r:id="rId65" ref="G58"/>
    <hyperlink r:id="rId66" ref="G59"/>
  </hyperlinks>
  <printOptions/>
  <pageMargins bottom="0.75" footer="0.0" header="0.0" left="0.7" right="0.7" top="0.75"/>
  <pageSetup orientation="landscape"/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72.57"/>
    <col customWidth="1" min="3" max="3" width="48.14"/>
    <col customWidth="1" min="7" max="7" width="5.29"/>
    <col customWidth="1" min="8" max="8" width="7.86"/>
    <col customWidth="1" min="9" max="9" width="5.57"/>
    <col customWidth="1" min="10" max="10" width="46.14"/>
    <col customWidth="1" min="12" max="12" width="15.86"/>
    <col customWidth="1" min="20" max="20" width="0.43"/>
    <col customWidth="1" min="21" max="21" width="51.14"/>
  </cols>
  <sheetData>
    <row r="1">
      <c r="A1" s="6" t="s">
        <v>0</v>
      </c>
      <c r="B1" s="7" t="s">
        <v>141</v>
      </c>
      <c r="C1" s="7" t="s">
        <v>142</v>
      </c>
      <c r="D1" s="7" t="s">
        <v>143</v>
      </c>
      <c r="E1" s="7" t="s">
        <v>144</v>
      </c>
      <c r="F1" s="7" t="s">
        <v>145</v>
      </c>
      <c r="G1" s="7" t="s">
        <v>146</v>
      </c>
      <c r="H1" s="7" t="s">
        <v>147</v>
      </c>
      <c r="I1" s="7" t="s">
        <v>148</v>
      </c>
      <c r="J1" s="7" t="s">
        <v>6</v>
      </c>
      <c r="K1" s="7" t="s">
        <v>7</v>
      </c>
      <c r="L1" s="7" t="s">
        <v>149</v>
      </c>
      <c r="M1" s="7" t="s">
        <v>150</v>
      </c>
      <c r="N1" s="7" t="s">
        <v>151</v>
      </c>
      <c r="O1" s="7" t="s">
        <v>152</v>
      </c>
    </row>
    <row r="2">
      <c r="A2" s="2">
        <v>1.0</v>
      </c>
      <c r="B2" s="2" t="s">
        <v>153</v>
      </c>
      <c r="C2" s="2" t="s">
        <v>153</v>
      </c>
      <c r="D2" s="2">
        <v>14.0</v>
      </c>
      <c r="E2" s="2">
        <v>1.0</v>
      </c>
      <c r="F2" s="2">
        <v>0.0</v>
      </c>
      <c r="H2" s="2">
        <v>0.0</v>
      </c>
      <c r="J2" s="3" t="s">
        <v>154</v>
      </c>
      <c r="K2" s="2" t="s">
        <v>155</v>
      </c>
      <c r="U2" s="8" t="str">
        <f t="shared" ref="U2:U626" si="1">CONCATENATE("CALL InsertOrUpdateProducto('",A2,"','",B2,"','",C2,"','",D2,"','",E2,"','",F2,"','",G2,"','",H2,"','",I2,"','",J2,"','",K2,"','",L2,"','",M2,"','",N2,"','",O2,"');")</f>
        <v>CALL InsertOrUpdateProducto('1','Cera incolora 5 litros','Cera incolora 5 litros','14','1','0','','0','','https://img.quodom.com.ar/producto/1.png','Z1','','','','');</v>
      </c>
    </row>
    <row r="3">
      <c r="A3" s="2">
        <v>2.0</v>
      </c>
      <c r="B3" s="2" t="s">
        <v>156</v>
      </c>
      <c r="C3" s="2" t="s">
        <v>156</v>
      </c>
      <c r="D3" s="2">
        <v>14.0</v>
      </c>
      <c r="E3" s="2">
        <v>1.0</v>
      </c>
      <c r="F3" s="2">
        <v>0.0</v>
      </c>
      <c r="H3" s="2">
        <v>0.0</v>
      </c>
      <c r="J3" s="3" t="s">
        <v>157</v>
      </c>
      <c r="K3" s="2" t="s">
        <v>158</v>
      </c>
      <c r="U3" s="8" t="str">
        <f t="shared" si="1"/>
        <v>CALL InsertOrUpdateProducto('2','Listo en Balde 5 litros','Listo en Balde 5 litros','14','1','0','','0','','https://img.quodom.com.ar/producto/2.png','Z2','','','','');</v>
      </c>
    </row>
    <row r="4">
      <c r="A4" s="2">
        <v>3.0</v>
      </c>
      <c r="B4" s="2" t="s">
        <v>159</v>
      </c>
      <c r="C4" s="2" t="s">
        <v>159</v>
      </c>
      <c r="D4" s="2">
        <v>14.0</v>
      </c>
      <c r="E4" s="2">
        <v>1.0</v>
      </c>
      <c r="F4" s="2">
        <v>0.0</v>
      </c>
      <c r="H4" s="2">
        <v>0.0</v>
      </c>
      <c r="J4" s="3" t="s">
        <v>160</v>
      </c>
      <c r="K4" s="2" t="s">
        <v>161</v>
      </c>
      <c r="U4" s="8" t="str">
        <f t="shared" si="1"/>
        <v>CALL InsertOrUpdateProducto('3','Lavandina concetrada 5 litros','Lavandina concetrada 5 litros','14','1','0','','0','','https://img.quodom.com.ar/producto/3.png','Z3','','','','');</v>
      </c>
    </row>
    <row r="5">
      <c r="A5" s="2">
        <v>4.0</v>
      </c>
      <c r="B5" s="2" t="s">
        <v>162</v>
      </c>
      <c r="C5" s="2" t="s">
        <v>162</v>
      </c>
      <c r="D5" s="2">
        <v>14.0</v>
      </c>
      <c r="E5" s="2">
        <v>1.0</v>
      </c>
      <c r="F5" s="2">
        <v>0.0</v>
      </c>
      <c r="H5" s="2">
        <v>0.0</v>
      </c>
      <c r="J5" s="3" t="s">
        <v>163</v>
      </c>
      <c r="K5" s="2" t="s">
        <v>164</v>
      </c>
      <c r="U5" s="8" t="str">
        <f t="shared" si="1"/>
        <v>CALL InsertOrUpdateProducto('4','Pisos Plastificados 5 litros','Pisos Plastificados 5 litros','14','1','0','','0','','https://img.quodom.com.ar/producto/4.png','Z4','','','','');</v>
      </c>
    </row>
    <row r="6">
      <c r="A6" s="2">
        <v>5.0</v>
      </c>
      <c r="B6" s="2" t="s">
        <v>165</v>
      </c>
      <c r="C6" s="2" t="s">
        <v>165</v>
      </c>
      <c r="D6" s="2">
        <v>14.0</v>
      </c>
      <c r="E6" s="2">
        <v>1.0</v>
      </c>
      <c r="F6" s="2">
        <v>0.0</v>
      </c>
      <c r="H6" s="2">
        <v>0.0</v>
      </c>
      <c r="J6" s="3" t="s">
        <v>166</v>
      </c>
      <c r="K6" s="2" t="s">
        <v>167</v>
      </c>
      <c r="U6" s="8" t="str">
        <f t="shared" si="1"/>
        <v>CALL InsertOrUpdateProducto('5','Alfombras y tapizados 5 litros','Alfombras y tapizados 5 litros','14','1','0','','0','','https://img.quodom.com.ar/producto/5.png','Z5','','','','');</v>
      </c>
    </row>
    <row r="7">
      <c r="A7" s="2">
        <v>6.0</v>
      </c>
      <c r="B7" s="2" t="s">
        <v>168</v>
      </c>
      <c r="C7" s="2" t="s">
        <v>168</v>
      </c>
      <c r="D7" s="2">
        <v>14.0</v>
      </c>
      <c r="E7" s="2">
        <v>1.0</v>
      </c>
      <c r="F7" s="2">
        <v>0.0</v>
      </c>
      <c r="H7" s="2">
        <v>0.0</v>
      </c>
      <c r="J7" s="3" t="s">
        <v>169</v>
      </c>
      <c r="K7" s="2" t="s">
        <v>170</v>
      </c>
      <c r="U7" s="8" t="str">
        <f t="shared" si="1"/>
        <v>CALL InsertOrUpdateProducto('6','Curador Siliconado 5 litros','Curador Siliconado 5 litros','14','1','0','','0','','https://img.quodom.com.ar/producto/6.png','Z6','','','','');</v>
      </c>
    </row>
    <row r="8">
      <c r="A8" s="2">
        <v>7.0</v>
      </c>
      <c r="B8" s="2" t="s">
        <v>171</v>
      </c>
      <c r="C8" s="2" t="s">
        <v>171</v>
      </c>
      <c r="D8" s="2">
        <v>14.0</v>
      </c>
      <c r="E8" s="2">
        <v>1.0</v>
      </c>
      <c r="F8" s="2">
        <v>0.0</v>
      </c>
      <c r="H8" s="2">
        <v>0.0</v>
      </c>
      <c r="J8" s="3" t="s">
        <v>172</v>
      </c>
      <c r="K8" s="2" t="s">
        <v>173</v>
      </c>
      <c r="U8" s="8" t="str">
        <f t="shared" si="1"/>
        <v>CALL InsertOrUpdateProducto('7','Limpiador neutro 5 litros','Limpiador neutro 5 litros','14','1','0','','0','','https://img.quodom.com.ar/producto/7.png','Z7','','','','');</v>
      </c>
    </row>
    <row r="9">
      <c r="A9" s="2">
        <v>8.0</v>
      </c>
      <c r="B9" s="2" t="s">
        <v>174</v>
      </c>
      <c r="C9" s="2" t="s">
        <v>174</v>
      </c>
      <c r="D9" s="2">
        <v>14.0</v>
      </c>
      <c r="E9" s="2">
        <v>1.0</v>
      </c>
      <c r="F9" s="2">
        <v>0.0</v>
      </c>
      <c r="H9" s="2">
        <v>0.0</v>
      </c>
      <c r="J9" s="3" t="s">
        <v>175</v>
      </c>
      <c r="K9" s="2" t="s">
        <v>176</v>
      </c>
      <c r="U9" s="8" t="str">
        <f t="shared" si="1"/>
        <v>CALL InsertOrUpdateProducto('8','Líquido para lampazo 5 litros','Líquido para lampazo 5 litros','14','1','0','','0','','https://img.quodom.com.ar/producto/8.png','Z8','','','','');</v>
      </c>
    </row>
    <row r="10">
      <c r="A10" s="2">
        <v>9.0</v>
      </c>
      <c r="B10" s="2" t="s">
        <v>177</v>
      </c>
      <c r="C10" s="2" t="s">
        <v>177</v>
      </c>
      <c r="D10" s="2">
        <v>14.0</v>
      </c>
      <c r="E10" s="2">
        <v>1.0</v>
      </c>
      <c r="F10" s="2">
        <v>0.0</v>
      </c>
      <c r="H10" s="2">
        <v>0.0</v>
      </c>
      <c r="J10" s="3" t="s">
        <v>178</v>
      </c>
      <c r="K10" s="2" t="s">
        <v>179</v>
      </c>
      <c r="U10" s="8" t="str">
        <f t="shared" si="1"/>
        <v>CALL InsertOrUpdateProducto('9','Lustra muebles 5 litros','Lustra muebles 5 litros','14','1','0','','0','','https://img.quodom.com.ar/producto/9.png','Z9','','','','');</v>
      </c>
    </row>
    <row r="11">
      <c r="A11" s="2">
        <v>10.0</v>
      </c>
      <c r="B11" s="2" t="s">
        <v>180</v>
      </c>
      <c r="C11" s="2" t="s">
        <v>180</v>
      </c>
      <c r="D11" s="2">
        <v>14.0</v>
      </c>
      <c r="E11" s="2">
        <v>1.0</v>
      </c>
      <c r="F11" s="2">
        <v>0.0</v>
      </c>
      <c r="H11" s="2">
        <v>0.0</v>
      </c>
      <c r="J11" s="3" t="s">
        <v>181</v>
      </c>
      <c r="K11" s="2" t="s">
        <v>182</v>
      </c>
      <c r="U11" s="8" t="str">
        <f t="shared" si="1"/>
        <v>CALL InsertOrUpdateProducto('10','Removedor de cera 5 litros','Removedor de cera 5 litros','14','1','0','','0','','https://img.quodom.com.ar/producto/10.png','Z10','','','','');</v>
      </c>
    </row>
    <row r="12">
      <c r="A12" s="2">
        <v>11.0</v>
      </c>
      <c r="B12" s="2" t="s">
        <v>183</v>
      </c>
      <c r="C12" s="2" t="s">
        <v>183</v>
      </c>
      <c r="D12" s="2">
        <v>14.0</v>
      </c>
      <c r="E12" s="2">
        <v>1.0</v>
      </c>
      <c r="F12" s="2">
        <v>0.0</v>
      </c>
      <c r="H12" s="2">
        <v>0.0</v>
      </c>
      <c r="J12" s="3" t="s">
        <v>184</v>
      </c>
      <c r="K12" s="2" t="s">
        <v>185</v>
      </c>
      <c r="U12" s="8" t="str">
        <f t="shared" si="1"/>
        <v>CALL InsertOrUpdateProducto('11','Secuestrante de polvo 5 litros','Secuestrante de polvo 5 litros','14','1','0','','0','','https://img.quodom.com.ar/producto/11.png','Z11','','','','');</v>
      </c>
    </row>
    <row r="13">
      <c r="A13" s="2">
        <v>12.0</v>
      </c>
      <c r="B13" s="2" t="s">
        <v>186</v>
      </c>
      <c r="C13" s="2" t="s">
        <v>186</v>
      </c>
      <c r="D13" s="2">
        <v>15.0</v>
      </c>
      <c r="E13" s="2">
        <v>1.0</v>
      </c>
      <c r="F13" s="2">
        <v>0.0</v>
      </c>
      <c r="H13" s="2">
        <v>0.0</v>
      </c>
      <c r="J13" s="3" t="s">
        <v>187</v>
      </c>
      <c r="K13" s="2" t="s">
        <v>188</v>
      </c>
      <c r="U13" s="8" t="str">
        <f t="shared" si="1"/>
        <v>CALL InsertOrUpdateProducto('12','Jabón líquido 5 litros','Jabón líquido 5 litros','15','1','0','','0','','https://img.quodom.com.ar/producto/12.png','Z12','','','','');</v>
      </c>
    </row>
    <row r="14">
      <c r="A14" s="2">
        <v>13.0</v>
      </c>
      <c r="B14" s="2" t="s">
        <v>189</v>
      </c>
      <c r="C14" s="2" t="s">
        <v>189</v>
      </c>
      <c r="D14" s="2">
        <v>15.0</v>
      </c>
      <c r="E14" s="2">
        <v>1.0</v>
      </c>
      <c r="F14" s="2">
        <v>0.0</v>
      </c>
      <c r="H14" s="2">
        <v>0.0</v>
      </c>
      <c r="J14" s="3" t="s">
        <v>190</v>
      </c>
      <c r="K14" s="2" t="s">
        <v>191</v>
      </c>
      <c r="U14" s="8" t="str">
        <f t="shared" si="1"/>
        <v>CALL InsertOrUpdateProducto('13','Jabón en polvo 5 kilos','Jabón en polvo 5 kilos','15','1','0','','0','','https://img.quodom.com.ar/producto/13.png','Z13','','','','');</v>
      </c>
    </row>
    <row r="15">
      <c r="A15" s="2">
        <v>14.0</v>
      </c>
      <c r="B15" s="2" t="s">
        <v>192</v>
      </c>
      <c r="C15" s="2" t="s">
        <v>192</v>
      </c>
      <c r="D15" s="2">
        <v>15.0</v>
      </c>
      <c r="E15" s="2">
        <v>1.0</v>
      </c>
      <c r="F15" s="2">
        <v>0.0</v>
      </c>
      <c r="H15" s="2">
        <v>0.0</v>
      </c>
      <c r="J15" s="3" t="s">
        <v>193</v>
      </c>
      <c r="K15" s="2" t="s">
        <v>194</v>
      </c>
      <c r="U15" s="8" t="str">
        <f t="shared" si="1"/>
        <v>CALL InsertOrUpdateProducto('14','Suavizante 5 litros','Suavizante 5 litros','15','1','0','','0','','https://img.quodom.com.ar/producto/14.png','Z14','','','','');</v>
      </c>
    </row>
    <row r="16">
      <c r="A16" s="2">
        <v>15.0</v>
      </c>
      <c r="B16" s="2" t="s">
        <v>195</v>
      </c>
      <c r="C16" s="2" t="s">
        <v>195</v>
      </c>
      <c r="D16" s="2">
        <v>15.0</v>
      </c>
      <c r="E16" s="2">
        <v>1.0</v>
      </c>
      <c r="F16" s="2">
        <v>0.0</v>
      </c>
      <c r="H16" s="2">
        <v>0.0</v>
      </c>
      <c r="J16" s="3" t="s">
        <v>196</v>
      </c>
      <c r="K16" s="2" t="s">
        <v>197</v>
      </c>
      <c r="U16" s="8" t="str">
        <f t="shared" si="1"/>
        <v>CALL InsertOrUpdateProducto('15','Suavizante triple frag. 5 litros','Suavizante triple frag. 5 litros','15','1','0','','0','','https://img.quodom.com.ar/producto/15.png','Z15','','','','');</v>
      </c>
    </row>
    <row r="17">
      <c r="A17" s="2">
        <v>16.0</v>
      </c>
      <c r="B17" s="2" t="s">
        <v>198</v>
      </c>
      <c r="C17" s="2" t="s">
        <v>198</v>
      </c>
      <c r="D17" s="2">
        <v>15.0</v>
      </c>
      <c r="E17" s="2">
        <v>1.0</v>
      </c>
      <c r="F17" s="2">
        <v>0.0</v>
      </c>
      <c r="H17" s="2">
        <v>0.0</v>
      </c>
      <c r="J17" s="3" t="s">
        <v>199</v>
      </c>
      <c r="K17" s="2" t="s">
        <v>200</v>
      </c>
      <c r="U17" s="8" t="str">
        <f t="shared" si="1"/>
        <v>CALL InsertOrUpdateProducto('16','Apresto 5 litros','Apresto 5 litros','15','1','0','','0','','https://img.quodom.com.ar/producto/16.png','Z16','','','','');</v>
      </c>
    </row>
    <row r="18">
      <c r="A18" s="2">
        <v>17.0</v>
      </c>
      <c r="B18" s="2" t="s">
        <v>201</v>
      </c>
      <c r="C18" s="2" t="s">
        <v>201</v>
      </c>
      <c r="D18" s="2">
        <v>15.0</v>
      </c>
      <c r="E18" s="2">
        <v>1.0</v>
      </c>
      <c r="F18" s="2">
        <v>0.0</v>
      </c>
      <c r="H18" s="2">
        <v>0.0</v>
      </c>
      <c r="J18" s="3" t="s">
        <v>202</v>
      </c>
      <c r="K18" s="2" t="s">
        <v>203</v>
      </c>
      <c r="U18" s="8" t="str">
        <f t="shared" si="1"/>
        <v>CALL InsertOrUpdateProducto('17','Blanqueador ropa blanca 5 litros','Blanqueador ropa blanca 5 litros','15','1','0','','0','','https://img.quodom.com.ar/producto/17.png','Z17','','','','');</v>
      </c>
    </row>
    <row r="19">
      <c r="A19" s="2">
        <v>18.0</v>
      </c>
      <c r="B19" s="2" t="s">
        <v>204</v>
      </c>
      <c r="C19" s="2" t="s">
        <v>204</v>
      </c>
      <c r="D19" s="2">
        <v>15.0</v>
      </c>
      <c r="E19" s="2">
        <v>1.0</v>
      </c>
      <c r="F19" s="2">
        <v>0.0</v>
      </c>
      <c r="H19" s="2">
        <v>0.0</v>
      </c>
      <c r="J19" s="3" t="s">
        <v>205</v>
      </c>
      <c r="K19" s="2" t="s">
        <v>206</v>
      </c>
      <c r="U19" s="8" t="str">
        <f t="shared" si="1"/>
        <v>CALL InsertOrUpdateProducto('18','Blanqueador ropa color 5 litros','Blanqueador ropa color 5 litros','15','1','0','','0','','https://img.quodom.com.ar/producto/18.png','Z18','','','','');</v>
      </c>
    </row>
    <row r="20">
      <c r="A20" s="2">
        <v>19.0</v>
      </c>
      <c r="B20" s="2" t="s">
        <v>207</v>
      </c>
      <c r="C20" s="2" t="s">
        <v>207</v>
      </c>
      <c r="D20" s="2">
        <v>15.0</v>
      </c>
      <c r="E20" s="2">
        <v>1.0</v>
      </c>
      <c r="F20" s="2">
        <v>0.0</v>
      </c>
      <c r="H20" s="2">
        <v>0.0</v>
      </c>
      <c r="J20" s="3" t="s">
        <v>208</v>
      </c>
      <c r="K20" s="2" t="s">
        <v>209</v>
      </c>
      <c r="U20" s="8" t="str">
        <f t="shared" si="1"/>
        <v>CALL InsertOrUpdateProducto('19','Desmanchador gel 5 litros','Desmanchador gel 5 litros','15','1','0','','0','','https://img.quodom.com.ar/producto/19.png','Z19','','','','');</v>
      </c>
    </row>
    <row r="21">
      <c r="A21" s="2">
        <v>20.0</v>
      </c>
      <c r="B21" s="2" t="s">
        <v>210</v>
      </c>
      <c r="C21" s="2" t="s">
        <v>210</v>
      </c>
      <c r="D21" s="2">
        <v>15.0</v>
      </c>
      <c r="E21" s="2">
        <v>1.0</v>
      </c>
      <c r="F21" s="2">
        <v>0.0</v>
      </c>
      <c r="H21" s="2">
        <v>0.0</v>
      </c>
      <c r="J21" s="3" t="s">
        <v>211</v>
      </c>
      <c r="K21" s="2" t="s">
        <v>212</v>
      </c>
      <c r="L21" s="2" t="s">
        <v>213</v>
      </c>
      <c r="U21" s="8" t="str">
        <f t="shared" si="1"/>
        <v>CALL InsertOrUpdateProducto('20','Perfume 5 litros','Perfume 5 litros','15','1','0','','0','','https://img.quodom.com.ar/producto/20.png','Z20','FRAGANCIA','','','');</v>
      </c>
    </row>
    <row r="22">
      <c r="A22" s="2">
        <v>21.0</v>
      </c>
      <c r="B22" s="2" t="s">
        <v>214</v>
      </c>
      <c r="C22" s="2" t="s">
        <v>214</v>
      </c>
      <c r="D22" s="2">
        <v>15.0</v>
      </c>
      <c r="E22" s="2">
        <v>1.0</v>
      </c>
      <c r="F22" s="2">
        <v>0.0</v>
      </c>
      <c r="H22" s="2">
        <v>0.0</v>
      </c>
      <c r="J22" s="3" t="s">
        <v>215</v>
      </c>
      <c r="K22" s="2" t="s">
        <v>216</v>
      </c>
      <c r="U22" s="8" t="str">
        <f t="shared" si="1"/>
        <v>CALL InsertOrUpdateProducto('21','Prelavado 5 litros','Prelavado 5 litros','15','1','0','','0','','https://img.quodom.com.ar/producto/21.png','Z21','','','','');</v>
      </c>
    </row>
    <row r="23">
      <c r="A23" s="2">
        <v>22.0</v>
      </c>
      <c r="B23" s="2" t="s">
        <v>217</v>
      </c>
      <c r="C23" s="2" t="s">
        <v>217</v>
      </c>
      <c r="D23" s="2">
        <v>16.0</v>
      </c>
      <c r="E23" s="2">
        <v>1.0</v>
      </c>
      <c r="F23" s="2">
        <v>0.0</v>
      </c>
      <c r="H23" s="2">
        <v>0.0</v>
      </c>
      <c r="J23" s="3" t="s">
        <v>218</v>
      </c>
      <c r="K23" s="2" t="s">
        <v>219</v>
      </c>
      <c r="U23" s="8" t="str">
        <f t="shared" si="1"/>
        <v>CALL InsertOrUpdateProducto('22','Detergente 5 litros','Detergente 5 litros','16','1','0','','0','','https://img.quodom.com.ar/producto/22.png','Z22','','','','');</v>
      </c>
    </row>
    <row r="24">
      <c r="A24" s="2">
        <v>23.0</v>
      </c>
      <c r="B24" s="2" t="s">
        <v>220</v>
      </c>
      <c r="C24" s="2" t="s">
        <v>220</v>
      </c>
      <c r="D24" s="2">
        <v>16.0</v>
      </c>
      <c r="E24" s="2">
        <v>1.0</v>
      </c>
      <c r="F24" s="2">
        <v>0.0</v>
      </c>
      <c r="H24" s="2">
        <v>0.0</v>
      </c>
      <c r="J24" s="3" t="s">
        <v>221</v>
      </c>
      <c r="K24" s="2" t="s">
        <v>222</v>
      </c>
      <c r="U24" s="8" t="str">
        <f t="shared" si="1"/>
        <v>CALL InsertOrUpdateProducto('23','Limpiador cremoso 5 litros','Limpiador cremoso 5 litros','16','1','0','','0','','https://img.quodom.com.ar/producto/23.png','Z23','','','','');</v>
      </c>
    </row>
    <row r="25">
      <c r="A25" s="2">
        <v>24.0</v>
      </c>
      <c r="B25" s="2" t="s">
        <v>223</v>
      </c>
      <c r="C25" s="2" t="s">
        <v>223</v>
      </c>
      <c r="D25" s="2">
        <v>16.0</v>
      </c>
      <c r="E25" s="2">
        <v>1.0</v>
      </c>
      <c r="F25" s="2">
        <v>0.0</v>
      </c>
      <c r="H25" s="2">
        <v>0.0</v>
      </c>
      <c r="J25" s="3" t="s">
        <v>224</v>
      </c>
      <c r="K25" s="2" t="s">
        <v>225</v>
      </c>
      <c r="U25" s="8" t="str">
        <f t="shared" si="1"/>
        <v>CALL InsertOrUpdateProducto('24','Detergente lavavajilla 5 litros','Detergente lavavajilla 5 litros','16','1','0','','0','','https://img.quodom.com.ar/producto/24.png','Z24','','','','');</v>
      </c>
    </row>
    <row r="26">
      <c r="A26" s="2">
        <v>25.0</v>
      </c>
      <c r="B26" s="2" t="s">
        <v>226</v>
      </c>
      <c r="C26" s="2" t="s">
        <v>226</v>
      </c>
      <c r="D26" s="2">
        <v>16.0</v>
      </c>
      <c r="E26" s="2">
        <v>1.0</v>
      </c>
      <c r="F26" s="2">
        <v>0.0</v>
      </c>
      <c r="H26" s="2">
        <v>0.0</v>
      </c>
      <c r="J26" s="3" t="s">
        <v>227</v>
      </c>
      <c r="K26" s="2" t="s">
        <v>228</v>
      </c>
      <c r="U26" s="8" t="str">
        <f t="shared" si="1"/>
        <v>CALL InsertOrUpdateProducto('25','Lavandina en gel 5 litros','Lavandina en gel 5 litros','16','1','0','','0','','https://img.quodom.com.ar/producto/25.png','Z25','','','','');</v>
      </c>
    </row>
    <row r="27">
      <c r="A27" s="2">
        <v>26.0</v>
      </c>
      <c r="B27" s="2" t="s">
        <v>229</v>
      </c>
      <c r="C27" s="2" t="s">
        <v>229</v>
      </c>
      <c r="D27" s="2">
        <v>16.0</v>
      </c>
      <c r="E27" s="2">
        <v>1.0</v>
      </c>
      <c r="F27" s="2">
        <v>0.0</v>
      </c>
      <c r="H27" s="2">
        <v>0.0</v>
      </c>
      <c r="J27" s="3" t="s">
        <v>230</v>
      </c>
      <c r="K27" s="2" t="s">
        <v>231</v>
      </c>
      <c r="U27" s="8" t="str">
        <f t="shared" si="1"/>
        <v>CALL InsertOrUpdateProducto('26','Lavandina concentrada 5 litros','Lavandina concentrada 5 litros','16','1','0','','0','','https://img.quodom.com.ar/producto/26.png','Z26','','','','');</v>
      </c>
    </row>
    <row r="28">
      <c r="A28" s="2">
        <v>27.0</v>
      </c>
      <c r="B28" s="2" t="s">
        <v>232</v>
      </c>
      <c r="C28" s="2" t="s">
        <v>232</v>
      </c>
      <c r="D28" s="2">
        <v>16.0</v>
      </c>
      <c r="E28" s="2">
        <v>1.0</v>
      </c>
      <c r="F28" s="2">
        <v>0.0</v>
      </c>
      <c r="H28" s="2">
        <v>0.0</v>
      </c>
      <c r="J28" s="3" t="s">
        <v>233</v>
      </c>
      <c r="K28" s="2" t="s">
        <v>234</v>
      </c>
      <c r="U28" s="8" t="str">
        <f t="shared" si="1"/>
        <v>CALL InsertOrUpdateProducto('27','Abrillantador 5 litros','Abrillantador 5 litros','16','1','0','','0','','https://img.quodom.com.ar/producto/27.png','Z27','','','','');</v>
      </c>
    </row>
    <row r="29">
      <c r="A29" s="2">
        <v>28.0</v>
      </c>
      <c r="B29" s="2" t="s">
        <v>235</v>
      </c>
      <c r="C29" s="2" t="s">
        <v>235</v>
      </c>
      <c r="D29" s="2">
        <v>16.0</v>
      </c>
      <c r="E29" s="2">
        <v>1.0</v>
      </c>
      <c r="F29" s="2">
        <v>0.0</v>
      </c>
      <c r="H29" s="2">
        <v>0.0</v>
      </c>
      <c r="J29" s="3" t="s">
        <v>236</v>
      </c>
      <c r="K29" s="2" t="s">
        <v>237</v>
      </c>
      <c r="U29" s="8" t="str">
        <f t="shared" si="1"/>
        <v>CALL InsertOrUpdateProducto('28','Amoníaco 5 litros','Amoníaco 5 litros','16','1','0','','0','','https://img.quodom.com.ar/producto/28.png','Z28','','','','');</v>
      </c>
    </row>
    <row r="30">
      <c r="A30" s="2">
        <v>29.0</v>
      </c>
      <c r="B30" s="2" t="s">
        <v>238</v>
      </c>
      <c r="C30" s="2" t="s">
        <v>238</v>
      </c>
      <c r="D30" s="2">
        <v>16.0</v>
      </c>
      <c r="E30" s="2">
        <v>1.0</v>
      </c>
      <c r="F30" s="2">
        <v>0.0</v>
      </c>
      <c r="H30" s="2">
        <v>0.0</v>
      </c>
      <c r="J30" s="3" t="s">
        <v>239</v>
      </c>
      <c r="K30" s="2" t="s">
        <v>240</v>
      </c>
      <c r="U30" s="8" t="str">
        <f t="shared" si="1"/>
        <v>CALL InsertOrUpdateProducto('29','Desengrasante en gel 5 litros','Desengrasante en gel 5 litros','16','1','0','','0','','https://img.quodom.com.ar/producto/29.png','Z29','','','','');</v>
      </c>
    </row>
    <row r="31">
      <c r="A31" s="2">
        <v>30.0</v>
      </c>
      <c r="B31" s="2" t="s">
        <v>241</v>
      </c>
      <c r="C31" s="2" t="s">
        <v>241</v>
      </c>
      <c r="D31" s="2">
        <v>16.0</v>
      </c>
      <c r="E31" s="2">
        <v>1.0</v>
      </c>
      <c r="F31" s="2">
        <v>0.0</v>
      </c>
      <c r="H31" s="2">
        <v>0.0</v>
      </c>
      <c r="J31" s="3" t="s">
        <v>242</v>
      </c>
      <c r="K31" s="2" t="s">
        <v>243</v>
      </c>
      <c r="U31" s="8" t="str">
        <f t="shared" si="1"/>
        <v>CALL InsertOrUpdateProducto('30','Desengrasante con amoníaco 5 lts','Desengrasante con amoníaco 5 lts','16','1','0','','0','','https://img.quodom.com.ar/producto/30.png','Z30','','','','');</v>
      </c>
    </row>
    <row r="32">
      <c r="A32" s="2">
        <v>31.0</v>
      </c>
      <c r="B32" s="2" t="s">
        <v>244</v>
      </c>
      <c r="C32" s="2" t="s">
        <v>244</v>
      </c>
      <c r="D32" s="2">
        <v>16.0</v>
      </c>
      <c r="E32" s="2">
        <v>1.0</v>
      </c>
      <c r="F32" s="2">
        <v>0.0</v>
      </c>
      <c r="H32" s="2">
        <v>0.0</v>
      </c>
      <c r="J32" s="3" t="s">
        <v>245</v>
      </c>
      <c r="K32" s="2" t="s">
        <v>246</v>
      </c>
      <c r="U32" s="8" t="str">
        <f t="shared" si="1"/>
        <v>CALL InsertOrUpdateProducto('31','Descarbonizante 5 litros','Descarbonizante 5 litros','16','1','0','','0','','https://img.quodom.com.ar/producto/31.png','Z31','','','','');</v>
      </c>
    </row>
    <row r="33">
      <c r="A33" s="2">
        <v>32.0</v>
      </c>
      <c r="B33" s="2" t="s">
        <v>247</v>
      </c>
      <c r="C33" s="2" t="s">
        <v>247</v>
      </c>
      <c r="D33" s="2">
        <v>16.0</v>
      </c>
      <c r="E33" s="2">
        <v>1.0</v>
      </c>
      <c r="F33" s="2">
        <v>0.0</v>
      </c>
      <c r="H33" s="2">
        <v>0.0</v>
      </c>
      <c r="J33" s="3" t="s">
        <v>248</v>
      </c>
      <c r="K33" s="2" t="s">
        <v>249</v>
      </c>
      <c r="U33" s="8" t="str">
        <f t="shared" si="1"/>
        <v>CALL InsertOrUpdateProducto('32','Fajinador de copas 5 litros','Fajinador de copas 5 litros','16','1','0','','0','','https://img.quodom.com.ar/producto/32.png','Z32','','','','');</v>
      </c>
    </row>
    <row r="34">
      <c r="A34" s="2">
        <v>33.0</v>
      </c>
      <c r="B34" s="2" t="s">
        <v>250</v>
      </c>
      <c r="C34" s="2" t="s">
        <v>250</v>
      </c>
      <c r="D34" s="2">
        <v>16.0</v>
      </c>
      <c r="E34" s="2">
        <v>1.0</v>
      </c>
      <c r="F34" s="2">
        <v>0.0</v>
      </c>
      <c r="H34" s="2">
        <v>0.0</v>
      </c>
      <c r="J34" s="3" t="s">
        <v>251</v>
      </c>
      <c r="K34" s="2" t="s">
        <v>252</v>
      </c>
      <c r="U34" s="8" t="str">
        <f t="shared" si="1"/>
        <v>CALL InsertOrUpdateProducto('33','Limpiador de hornos 5 litros','Limpiador de hornos 5 litros','16','1','0','','0','','https://img.quodom.com.ar/producto/33.png','Z33','','','','');</v>
      </c>
    </row>
    <row r="35">
      <c r="A35" s="2">
        <v>34.0</v>
      </c>
      <c r="B35" s="2" t="s">
        <v>253</v>
      </c>
      <c r="C35" s="2" t="s">
        <v>253</v>
      </c>
      <c r="D35" s="2">
        <v>16.0</v>
      </c>
      <c r="E35" s="2">
        <v>1.0</v>
      </c>
      <c r="F35" s="2">
        <v>0.0</v>
      </c>
      <c r="H35" s="2">
        <v>0.0</v>
      </c>
      <c r="J35" s="3" t="s">
        <v>254</v>
      </c>
      <c r="K35" s="2" t="s">
        <v>255</v>
      </c>
      <c r="U35" s="8" t="str">
        <f t="shared" si="1"/>
        <v>CALL InsertOrUpdateProducto('34','Multiuso 5 litros','Multiuso 5 litros','16','1','0','','0','','https://img.quodom.com.ar/producto/34.png','Z34','','','','');</v>
      </c>
    </row>
    <row r="36">
      <c r="A36" s="2">
        <v>41.0</v>
      </c>
      <c r="B36" s="2" t="s">
        <v>256</v>
      </c>
      <c r="C36" s="2" t="s">
        <v>256</v>
      </c>
      <c r="D36" s="2">
        <v>18.0</v>
      </c>
      <c r="E36" s="2">
        <v>1.0</v>
      </c>
      <c r="F36" s="2">
        <v>0.0</v>
      </c>
      <c r="H36" s="2">
        <v>0.0</v>
      </c>
      <c r="J36" s="3" t="s">
        <v>257</v>
      </c>
      <c r="K36" s="2" t="s">
        <v>258</v>
      </c>
      <c r="L36" s="2" t="s">
        <v>259</v>
      </c>
      <c r="U36" s="8" t="str">
        <f t="shared" si="1"/>
        <v>CALL InsertOrUpdateProducto('41','Bolsa de residuos por 50 unidades','Bolsa de residuos por 50 unidades','18','1','0','','0','','https://img.quodom.com.ar/producto/41.png','Z41','TIPO','','','');</v>
      </c>
    </row>
    <row r="37">
      <c r="A37" s="2">
        <v>42.0</v>
      </c>
      <c r="B37" s="2" t="s">
        <v>260</v>
      </c>
      <c r="C37" s="2" t="s">
        <v>260</v>
      </c>
      <c r="D37" s="2">
        <v>18.0</v>
      </c>
      <c r="E37" s="2">
        <v>1.0</v>
      </c>
      <c r="F37" s="2">
        <v>0.0</v>
      </c>
      <c r="H37" s="2">
        <v>0.0</v>
      </c>
      <c r="J37" s="3" t="s">
        <v>261</v>
      </c>
      <c r="K37" s="2" t="s">
        <v>262</v>
      </c>
      <c r="L37" s="2" t="s">
        <v>263</v>
      </c>
      <c r="U37" s="8" t="str">
        <f t="shared" si="1"/>
        <v>CALL InsertOrUpdateProducto('42','Franela por 5 unidades','Franela por 5 unidades','18','1','0','','0','','https://img.quodom.com.ar/producto/42.png','Z42','MEDIDAS','','','');</v>
      </c>
    </row>
    <row r="38">
      <c r="A38" s="2">
        <v>43.0</v>
      </c>
      <c r="B38" s="2" t="s">
        <v>264</v>
      </c>
      <c r="C38" s="2" t="s">
        <v>264</v>
      </c>
      <c r="D38" s="2">
        <v>18.0</v>
      </c>
      <c r="E38" s="2">
        <v>1.0</v>
      </c>
      <c r="F38" s="2">
        <v>0.0</v>
      </c>
      <c r="H38" s="2">
        <v>0.0</v>
      </c>
      <c r="J38" s="3" t="s">
        <v>265</v>
      </c>
      <c r="K38" s="2" t="s">
        <v>266</v>
      </c>
      <c r="U38" s="8" t="str">
        <f t="shared" si="1"/>
        <v>CALL InsertOrUpdateProducto('43','Trapo de piso por 5 unidades','Trapo de piso por 5 unidades','18','1','0','','0','','https://img.quodom.com.ar/producto/43.png','Z43','','','','');</v>
      </c>
    </row>
    <row r="39">
      <c r="A39" s="2">
        <v>44.0</v>
      </c>
      <c r="B39" s="2" t="s">
        <v>267</v>
      </c>
      <c r="C39" s="2" t="s">
        <v>267</v>
      </c>
      <c r="D39" s="2">
        <v>18.0</v>
      </c>
      <c r="E39" s="2">
        <v>1.0</v>
      </c>
      <c r="F39" s="2">
        <v>0.0</v>
      </c>
      <c r="H39" s="2">
        <v>0.0</v>
      </c>
      <c r="J39" s="3" t="s">
        <v>268</v>
      </c>
      <c r="K39" s="2" t="s">
        <v>269</v>
      </c>
      <c r="U39" s="8" t="str">
        <f t="shared" si="1"/>
        <v>CALL InsertOrUpdateProducto('44','Trapo tipo Ballerina por 5 unidades','Trapo tipo Ballerina por 5 unidades','18','1','0','','0','','https://img.quodom.com.ar/producto/44.png','Z44','','','','');</v>
      </c>
    </row>
    <row r="40">
      <c r="A40" s="2">
        <v>45.0</v>
      </c>
      <c r="B40" s="2" t="s">
        <v>270</v>
      </c>
      <c r="C40" s="2" t="s">
        <v>270</v>
      </c>
      <c r="D40" s="2">
        <v>18.0</v>
      </c>
      <c r="E40" s="2">
        <v>1.0</v>
      </c>
      <c r="F40" s="2">
        <v>0.0</v>
      </c>
      <c r="H40" s="2">
        <v>0.0</v>
      </c>
      <c r="J40" s="3" t="s">
        <v>271</v>
      </c>
      <c r="K40" s="2" t="s">
        <v>272</v>
      </c>
      <c r="L40" s="2" t="s">
        <v>263</v>
      </c>
      <c r="U40" s="8" t="str">
        <f t="shared" si="1"/>
        <v>CALL InsertOrUpdateProducto('45','Escobillon de cerda','Escobillon de cerda','18','1','0','','0','','https://img.quodom.com.ar/producto/45.png','Z45','MEDIDAS','','','');</v>
      </c>
    </row>
    <row r="41">
      <c r="A41" s="2">
        <v>46.0</v>
      </c>
      <c r="B41" s="2" t="s">
        <v>273</v>
      </c>
      <c r="C41" s="2" t="s">
        <v>273</v>
      </c>
      <c r="D41" s="2">
        <v>18.0</v>
      </c>
      <c r="E41" s="2">
        <v>1.0</v>
      </c>
      <c r="F41" s="2">
        <v>0.0</v>
      </c>
      <c r="H41" s="2">
        <v>0.0</v>
      </c>
      <c r="J41" s="3" t="s">
        <v>274</v>
      </c>
      <c r="K41" s="2" t="s">
        <v>275</v>
      </c>
      <c r="L41" s="2" t="s">
        <v>263</v>
      </c>
      <c r="U41" s="8" t="str">
        <f t="shared" si="1"/>
        <v>CALL InsertOrUpdateProducto('46','Escobillon cepillo','Escobillon cepillo','18','1','0','','0','','https://img.quodom.com.ar/producto/46.png','Z46','MEDIDAS','','','');</v>
      </c>
    </row>
    <row r="42">
      <c r="A42" s="2">
        <v>47.0</v>
      </c>
      <c r="B42" s="2" t="s">
        <v>276</v>
      </c>
      <c r="C42" s="2" t="s">
        <v>276</v>
      </c>
      <c r="D42" s="2">
        <v>18.0</v>
      </c>
      <c r="E42" s="2">
        <v>1.0</v>
      </c>
      <c r="F42" s="2">
        <v>0.0</v>
      </c>
      <c r="H42" s="2">
        <v>0.0</v>
      </c>
      <c r="J42" s="3" t="s">
        <v>277</v>
      </c>
      <c r="K42" s="2" t="s">
        <v>278</v>
      </c>
      <c r="L42" s="2" t="s">
        <v>263</v>
      </c>
      <c r="U42" s="8" t="str">
        <f t="shared" si="1"/>
        <v>CALL InsertOrUpdateProducto('47','Secadores','Secadores','18','1','0','','0','','https://img.quodom.com.ar/producto/47.png','Z47','MEDIDAS','','','');</v>
      </c>
    </row>
    <row r="43">
      <c r="A43" s="2">
        <v>48.0</v>
      </c>
      <c r="B43" s="2" t="s">
        <v>279</v>
      </c>
      <c r="C43" s="2" t="s">
        <v>279</v>
      </c>
      <c r="D43" s="2">
        <v>18.0</v>
      </c>
      <c r="E43" s="2">
        <v>1.0</v>
      </c>
      <c r="F43" s="2">
        <v>0.0</v>
      </c>
      <c r="H43" s="2">
        <v>0.0</v>
      </c>
      <c r="J43" s="3" t="s">
        <v>280</v>
      </c>
      <c r="K43" s="2" t="s">
        <v>281</v>
      </c>
      <c r="L43" s="2" t="s">
        <v>259</v>
      </c>
      <c r="U43" s="8" t="str">
        <f t="shared" si="1"/>
        <v>CALL InsertOrUpdateProducto('48','Escobilla para baño','Escobilla para baño','18','1','0','','0','','https://img.quodom.com.ar/producto/48.png','Z48','TIPO','','','');</v>
      </c>
    </row>
    <row r="44">
      <c r="A44" s="2">
        <v>49.0</v>
      </c>
      <c r="B44" s="2" t="s">
        <v>282</v>
      </c>
      <c r="C44" s="2" t="s">
        <v>282</v>
      </c>
      <c r="D44" s="2">
        <v>18.0</v>
      </c>
      <c r="E44" s="2">
        <v>1.0</v>
      </c>
      <c r="F44" s="2">
        <v>0.0</v>
      </c>
      <c r="H44" s="2">
        <v>0.0</v>
      </c>
      <c r="J44" s="3" t="s">
        <v>283</v>
      </c>
      <c r="K44" s="2" t="s">
        <v>284</v>
      </c>
      <c r="L44" s="2" t="s">
        <v>259</v>
      </c>
      <c r="U44" s="8" t="str">
        <f t="shared" si="1"/>
        <v>CALL InsertOrUpdateProducto('49','Plumero','Plumero','18','1','0','','0','','https://img.quodom.com.ar/producto/49.png','Z49','TIPO','','','');</v>
      </c>
    </row>
    <row r="45">
      <c r="A45" s="2">
        <v>50.0</v>
      </c>
      <c r="B45" s="2" t="s">
        <v>285</v>
      </c>
      <c r="C45" s="2" t="s">
        <v>285</v>
      </c>
      <c r="D45" s="2">
        <v>18.0</v>
      </c>
      <c r="E45" s="2">
        <v>1.0</v>
      </c>
      <c r="F45" s="2">
        <v>0.0</v>
      </c>
      <c r="H45" s="2">
        <v>0.0</v>
      </c>
      <c r="J45" s="3" t="s">
        <v>286</v>
      </c>
      <c r="K45" s="2" t="s">
        <v>287</v>
      </c>
      <c r="L45" s="2" t="s">
        <v>259</v>
      </c>
      <c r="U45" s="8" t="str">
        <f t="shared" si="1"/>
        <v>CALL InsertOrUpdateProducto('50','Lampazo','Lampazo','18','1','0','','0','','https://img.quodom.com.ar/producto/50.png','Z50','TIPO','','','');</v>
      </c>
    </row>
    <row r="46">
      <c r="A46" s="2">
        <v>51.0</v>
      </c>
      <c r="B46" s="2" t="s">
        <v>288</v>
      </c>
      <c r="C46" s="2" t="s">
        <v>288</v>
      </c>
      <c r="D46" s="2">
        <v>18.0</v>
      </c>
      <c r="E46" s="2">
        <v>1.0</v>
      </c>
      <c r="F46" s="2">
        <v>0.0</v>
      </c>
      <c r="H46" s="2">
        <v>0.0</v>
      </c>
      <c r="J46" s="3" t="s">
        <v>289</v>
      </c>
      <c r="K46" s="2" t="s">
        <v>290</v>
      </c>
      <c r="U46" s="8" t="str">
        <f t="shared" si="1"/>
        <v>CALL InsertOrUpdateProducto('51','Cepillo de mano','Cepillo de mano','18','1','0','','0','','https://img.quodom.com.ar/producto/51.png','Z51','','','','');</v>
      </c>
    </row>
    <row r="47">
      <c r="A47" s="2">
        <v>52.0</v>
      </c>
      <c r="B47" s="2" t="s">
        <v>291</v>
      </c>
      <c r="C47" s="2" t="s">
        <v>291</v>
      </c>
      <c r="D47" s="2">
        <v>18.0</v>
      </c>
      <c r="E47" s="2">
        <v>1.0</v>
      </c>
      <c r="F47" s="2">
        <v>0.0</v>
      </c>
      <c r="H47" s="2">
        <v>0.0</v>
      </c>
      <c r="J47" s="3" t="s">
        <v>292</v>
      </c>
      <c r="K47" s="2" t="s">
        <v>293</v>
      </c>
      <c r="U47" s="8" t="str">
        <f t="shared" si="1"/>
        <v>CALL InsertOrUpdateProducto('52','Balde con escurridor','Balde con escurridor','18','1','0','','0','','https://img.quodom.com.ar/producto/52.png','Z52','','','','');</v>
      </c>
    </row>
    <row r="48">
      <c r="A48" s="2">
        <v>53.0</v>
      </c>
      <c r="B48" s="2" t="s">
        <v>294</v>
      </c>
      <c r="C48" s="2" t="s">
        <v>294</v>
      </c>
      <c r="D48" s="2">
        <v>18.0</v>
      </c>
      <c r="E48" s="2">
        <v>1.0</v>
      </c>
      <c r="F48" s="2">
        <v>0.0</v>
      </c>
      <c r="H48" s="2">
        <v>0.0</v>
      </c>
      <c r="J48" s="3" t="s">
        <v>295</v>
      </c>
      <c r="K48" s="2" t="s">
        <v>296</v>
      </c>
      <c r="U48" s="8" t="str">
        <f t="shared" si="1"/>
        <v>CALL InsertOrUpdateProducto('53','Recipiente con pedal','Recipiente con pedal','18','1','0','','0','','https://img.quodom.com.ar/producto/53.png','Z53','','','','');</v>
      </c>
    </row>
    <row r="49">
      <c r="A49" s="2">
        <v>54.0</v>
      </c>
      <c r="B49" s="2" t="s">
        <v>297</v>
      </c>
      <c r="C49" s="2" t="s">
        <v>297</v>
      </c>
      <c r="D49" s="2">
        <v>18.0</v>
      </c>
      <c r="E49" s="2">
        <v>1.0</v>
      </c>
      <c r="F49" s="2">
        <v>0.0</v>
      </c>
      <c r="H49" s="2">
        <v>0.0</v>
      </c>
      <c r="J49" s="3" t="s">
        <v>298</v>
      </c>
      <c r="K49" s="2" t="s">
        <v>299</v>
      </c>
      <c r="U49" s="8" t="str">
        <f t="shared" si="1"/>
        <v>CALL InsertOrUpdateProducto('54','Cesto calado','Cesto calado','18','1','0','','0','','https://img.quodom.com.ar/producto/54.png','Z54','','','','');</v>
      </c>
    </row>
    <row r="50">
      <c r="A50" s="2">
        <v>55.0</v>
      </c>
      <c r="B50" s="2" t="s">
        <v>300</v>
      </c>
      <c r="C50" s="2" t="s">
        <v>300</v>
      </c>
      <c r="D50" s="2">
        <v>18.0</v>
      </c>
      <c r="E50" s="2">
        <v>1.0</v>
      </c>
      <c r="F50" s="2">
        <v>0.0</v>
      </c>
      <c r="H50" s="2">
        <v>0.0</v>
      </c>
      <c r="J50" s="3" t="s">
        <v>301</v>
      </c>
      <c r="K50" s="2" t="s">
        <v>302</v>
      </c>
      <c r="U50" s="8" t="str">
        <f t="shared" si="1"/>
        <v>CALL InsertOrUpdateProducto('55','Canasto para ropa','Canasto para ropa','18','1','0','','0','','https://img.quodom.com.ar/producto/55.png','Z55','','','','');</v>
      </c>
    </row>
    <row r="51">
      <c r="A51" s="2">
        <v>56.0</v>
      </c>
      <c r="B51" s="2" t="s">
        <v>303</v>
      </c>
      <c r="C51" s="2" t="s">
        <v>303</v>
      </c>
      <c r="D51" s="2">
        <v>18.0</v>
      </c>
      <c r="E51" s="2">
        <v>1.0</v>
      </c>
      <c r="F51" s="2">
        <v>0.0</v>
      </c>
      <c r="H51" s="2">
        <v>0.0</v>
      </c>
      <c r="J51" s="3" t="s">
        <v>304</v>
      </c>
      <c r="K51" s="2" t="s">
        <v>305</v>
      </c>
      <c r="U51" s="8" t="str">
        <f t="shared" si="1"/>
        <v>CALL InsertOrUpdateProducto('56','Balde 12 lts','Balde 12 lts','18','1','0','','0','','https://img.quodom.com.ar/producto/56.png','Z56','','','','');</v>
      </c>
    </row>
    <row r="52">
      <c r="A52" s="2">
        <v>57.0</v>
      </c>
      <c r="B52" s="2" t="s">
        <v>306</v>
      </c>
      <c r="C52" s="2" t="s">
        <v>306</v>
      </c>
      <c r="D52" s="2">
        <v>18.0</v>
      </c>
      <c r="E52" s="2">
        <v>1.0</v>
      </c>
      <c r="F52" s="2">
        <v>0.0</v>
      </c>
      <c r="H52" s="2">
        <v>0.0</v>
      </c>
      <c r="J52" s="3" t="s">
        <v>307</v>
      </c>
      <c r="K52" s="2" t="s">
        <v>308</v>
      </c>
      <c r="U52" s="8" t="str">
        <f t="shared" si="1"/>
        <v>CALL InsertOrUpdateProducto('57','Recipiente residuos 70 lts','Recipiente residuos 70 lts','18','1','0','','0','','https://img.quodom.com.ar/producto/57.png','Z57','','','','');</v>
      </c>
    </row>
    <row r="53">
      <c r="A53" s="2">
        <v>58.0</v>
      </c>
      <c r="B53" s="2" t="s">
        <v>309</v>
      </c>
      <c r="C53" s="2" t="s">
        <v>309</v>
      </c>
      <c r="D53" s="2">
        <v>18.0</v>
      </c>
      <c r="E53" s="2">
        <v>1.0</v>
      </c>
      <c r="F53" s="2">
        <v>0.0</v>
      </c>
      <c r="H53" s="2">
        <v>0.0</v>
      </c>
      <c r="J53" s="3" t="s">
        <v>310</v>
      </c>
      <c r="K53" s="2" t="s">
        <v>311</v>
      </c>
      <c r="U53" s="8" t="str">
        <f t="shared" si="1"/>
        <v>CALL InsertOrUpdateProducto('58','Fuentón 35 lts','Fuentón 35 lts','18','1','0','','0','','https://img.quodom.com.ar/producto/58.png','Z58','','','','');</v>
      </c>
    </row>
    <row r="54">
      <c r="A54" s="2">
        <v>59.0</v>
      </c>
      <c r="B54" s="2" t="s">
        <v>312</v>
      </c>
      <c r="C54" s="2" t="s">
        <v>312</v>
      </c>
      <c r="D54" s="2">
        <v>18.0</v>
      </c>
      <c r="E54" s="2">
        <v>1.0</v>
      </c>
      <c r="F54" s="2">
        <v>0.0</v>
      </c>
      <c r="H54" s="2">
        <v>0.0</v>
      </c>
      <c r="J54" s="3" t="s">
        <v>313</v>
      </c>
      <c r="K54" s="2" t="s">
        <v>314</v>
      </c>
      <c r="L54" s="2" t="s">
        <v>315</v>
      </c>
      <c r="U54" s="8" t="str">
        <f t="shared" si="1"/>
        <v>CALL InsertOrUpdateProducto('59','Guantes Mapa por 5 pares','Guantes Mapa por 5 pares','18','1','0','','0','','https://img.quodom.com.ar/producto/59.png','Z59','TALLE','','','');</v>
      </c>
    </row>
    <row r="55">
      <c r="A55" s="2">
        <v>60.0</v>
      </c>
      <c r="B55" s="2" t="s">
        <v>316</v>
      </c>
      <c r="C55" s="2" t="s">
        <v>316</v>
      </c>
      <c r="D55" s="2">
        <v>18.0</v>
      </c>
      <c r="E55" s="2">
        <v>1.0</v>
      </c>
      <c r="F55" s="2">
        <v>0.0</v>
      </c>
      <c r="H55" s="2">
        <v>0.0</v>
      </c>
      <c r="J55" s="3" t="s">
        <v>317</v>
      </c>
      <c r="K55" s="2" t="s">
        <v>318</v>
      </c>
      <c r="L55" s="2" t="s">
        <v>315</v>
      </c>
      <c r="U55" s="8" t="str">
        <f t="shared" si="1"/>
        <v>CALL InsertOrUpdateProducto('60','Guantes Latex por 100 unidades','Guantes Latex por 100 unidades','18','1','0','','0','','https://img.quodom.com.ar/producto/60.png','Z60','TALLE','','','');</v>
      </c>
    </row>
    <row r="56">
      <c r="A56" s="2">
        <v>61.0</v>
      </c>
      <c r="B56" s="2" t="s">
        <v>319</v>
      </c>
      <c r="C56" s="2" t="s">
        <v>319</v>
      </c>
      <c r="D56" s="2">
        <v>18.0</v>
      </c>
      <c r="E56" s="2">
        <v>1.0</v>
      </c>
      <c r="F56" s="2">
        <v>0.0</v>
      </c>
      <c r="H56" s="2">
        <v>0.0</v>
      </c>
      <c r="J56" s="3" t="s">
        <v>320</v>
      </c>
      <c r="K56" s="2" t="s">
        <v>321</v>
      </c>
      <c r="L56" s="2" t="s">
        <v>315</v>
      </c>
      <c r="U56" s="8" t="str">
        <f t="shared" si="1"/>
        <v>CALL InsertOrUpdateProducto('61','Guantes Nitrilo negros por 100 unidades','Guantes Nitrilo negros por 100 unidades','18','1','0','','0','','https://img.quodom.com.ar/producto/61.png','Z61','TALLE','','','');</v>
      </c>
    </row>
    <row r="57">
      <c r="A57" s="2">
        <v>62.0</v>
      </c>
      <c r="B57" s="2" t="s">
        <v>322</v>
      </c>
      <c r="C57" s="2" t="s">
        <v>322</v>
      </c>
      <c r="D57" s="2">
        <v>18.0</v>
      </c>
      <c r="E57" s="2">
        <v>1.0</v>
      </c>
      <c r="F57" s="2">
        <v>0.0</v>
      </c>
      <c r="H57" s="2">
        <v>0.0</v>
      </c>
      <c r="J57" s="3" t="s">
        <v>323</v>
      </c>
      <c r="K57" s="2" t="s">
        <v>324</v>
      </c>
      <c r="U57" s="8" t="str">
        <f t="shared" si="1"/>
        <v>CALL InsertOrUpdateProducto('62','Esponja de cocina por 10 unidades','Esponja de cocina por 10 unidades','18','1','0','','0','','https://img.quodom.com.ar/producto/62.png','Z62','','','','');</v>
      </c>
    </row>
    <row r="58">
      <c r="A58" s="2">
        <v>63.0</v>
      </c>
      <c r="B58" s="2" t="s">
        <v>325</v>
      </c>
      <c r="C58" s="2" t="s">
        <v>325</v>
      </c>
      <c r="D58" s="2">
        <v>18.0</v>
      </c>
      <c r="E58" s="2">
        <v>1.0</v>
      </c>
      <c r="F58" s="2">
        <v>0.0</v>
      </c>
      <c r="H58" s="2">
        <v>0.0</v>
      </c>
      <c r="J58" s="3" t="s">
        <v>326</v>
      </c>
      <c r="K58" s="2" t="s">
        <v>327</v>
      </c>
      <c r="U58" s="8" t="str">
        <f t="shared" si="1"/>
        <v>CALL InsertOrUpdateProducto('63','Esponja de acero por 10 unidades','Esponja de acero por 10 unidades','18','1','0','','0','','https://img.quodom.com.ar/producto/63.png','Z63','','','','');</v>
      </c>
    </row>
    <row r="59">
      <c r="A59" s="2">
        <v>64.0</v>
      </c>
      <c r="B59" s="2" t="s">
        <v>328</v>
      </c>
      <c r="C59" s="2" t="s">
        <v>328</v>
      </c>
      <c r="D59" s="2">
        <v>19.0</v>
      </c>
      <c r="E59" s="2">
        <v>1.0</v>
      </c>
      <c r="F59" s="2">
        <v>0.0</v>
      </c>
      <c r="H59" s="2">
        <v>0.0</v>
      </c>
      <c r="J59" s="3" t="s">
        <v>329</v>
      </c>
      <c r="K59" s="2" t="s">
        <v>330</v>
      </c>
      <c r="U59" s="8" t="str">
        <f t="shared" si="1"/>
        <v>CALL InsertOrUpdateProducto('64','Alcohol 70% por 5 litros','Alcohol 70% por 5 litros','19','1','0','','0','','https://img.quodom.com.ar/producto/64.png','Z64','','','','');</v>
      </c>
    </row>
    <row r="60">
      <c r="A60" s="2">
        <v>65.0</v>
      </c>
      <c r="B60" s="2" t="s">
        <v>331</v>
      </c>
      <c r="C60" s="2" t="s">
        <v>331</v>
      </c>
      <c r="D60" s="2">
        <v>19.0</v>
      </c>
      <c r="E60" s="2">
        <v>1.0</v>
      </c>
      <c r="F60" s="2">
        <v>0.0</v>
      </c>
      <c r="H60" s="2">
        <v>0.0</v>
      </c>
      <c r="J60" s="3" t="s">
        <v>332</v>
      </c>
      <c r="K60" s="2" t="s">
        <v>333</v>
      </c>
      <c r="U60" s="8" t="str">
        <f t="shared" si="1"/>
        <v>CALL InsertOrUpdateProducto('65','Alcohol 96% por 5 litros','Alcohol 96% por 5 litros','19','1','0','','0','','https://img.quodom.com.ar/producto/65.png','Z65','','','','');</v>
      </c>
    </row>
    <row r="61">
      <c r="A61" s="2">
        <v>66.0</v>
      </c>
      <c r="B61" s="2" t="s">
        <v>334</v>
      </c>
      <c r="C61" s="2" t="s">
        <v>334</v>
      </c>
      <c r="D61" s="2">
        <v>19.0</v>
      </c>
      <c r="E61" s="2">
        <v>1.0</v>
      </c>
      <c r="F61" s="2">
        <v>0.0</v>
      </c>
      <c r="H61" s="2">
        <v>0.0</v>
      </c>
      <c r="J61" s="3" t="s">
        <v>335</v>
      </c>
      <c r="K61" s="2" t="s">
        <v>336</v>
      </c>
      <c r="U61" s="8" t="str">
        <f t="shared" si="1"/>
        <v>CALL InsertOrUpdateProducto('66','Acohol en gel por 5 litros','Acohol en gel por 5 litros','19','1','0','','0','','https://img.quodom.com.ar/producto/66.png','Z66','','','','');</v>
      </c>
    </row>
    <row r="62">
      <c r="A62" s="2">
        <v>67.0</v>
      </c>
      <c r="B62" s="2" t="s">
        <v>337</v>
      </c>
      <c r="C62" s="2" t="s">
        <v>337</v>
      </c>
      <c r="D62" s="2">
        <v>19.0</v>
      </c>
      <c r="E62" s="2">
        <v>1.0</v>
      </c>
      <c r="F62" s="2">
        <v>0.0</v>
      </c>
      <c r="H62" s="2">
        <v>0.0</v>
      </c>
      <c r="J62" s="3" t="s">
        <v>338</v>
      </c>
      <c r="K62" s="2" t="s">
        <v>339</v>
      </c>
      <c r="U62" s="8" t="str">
        <f t="shared" si="1"/>
        <v>CALL InsertOrUpdateProducto('67','Shampoo por 5 litros','Shampoo por 5 litros','19','1','0','','0','','https://img.quodom.com.ar/producto/67.png','Z67','','','','');</v>
      </c>
    </row>
    <row r="63">
      <c r="A63" s="2">
        <v>68.0</v>
      </c>
      <c r="B63" s="2" t="s">
        <v>340</v>
      </c>
      <c r="C63" s="2" t="s">
        <v>340</v>
      </c>
      <c r="D63" s="2">
        <v>19.0</v>
      </c>
      <c r="E63" s="2">
        <v>1.0</v>
      </c>
      <c r="F63" s="2">
        <v>0.0</v>
      </c>
      <c r="H63" s="2">
        <v>0.0</v>
      </c>
      <c r="J63" s="3" t="s">
        <v>341</v>
      </c>
      <c r="K63" s="2" t="s">
        <v>342</v>
      </c>
      <c r="U63" s="8" t="str">
        <f t="shared" si="1"/>
        <v>CALL InsertOrUpdateProducto('68','Jabón líquido de manos por 5 litros','Jabón líquido de manos por 5 litros','19','1','0','','0','','https://img.quodom.com.ar/producto/68.png','Z68','','','','');</v>
      </c>
    </row>
    <row r="64">
      <c r="A64" s="2">
        <v>69.0</v>
      </c>
      <c r="B64" s="2" t="s">
        <v>343</v>
      </c>
      <c r="C64" s="2" t="s">
        <v>343</v>
      </c>
      <c r="D64" s="2">
        <v>20.0</v>
      </c>
      <c r="E64" s="2">
        <v>1.0</v>
      </c>
      <c r="F64" s="2">
        <v>0.0</v>
      </c>
      <c r="H64" s="2">
        <v>0.0</v>
      </c>
      <c r="J64" s="3" t="s">
        <v>344</v>
      </c>
      <c r="K64" s="2" t="s">
        <v>345</v>
      </c>
      <c r="U64" s="8" t="str">
        <f t="shared" si="1"/>
        <v>CALL InsertOrUpdateProducto('69','Silicona en Gel por 5 litros','Silicona en Gel por 5 litros','20','1','0','','0','','https://img.quodom.com.ar/producto/69.png','Z69','','','','');</v>
      </c>
    </row>
    <row r="65">
      <c r="A65" s="2">
        <v>70.0</v>
      </c>
      <c r="B65" s="2" t="s">
        <v>346</v>
      </c>
      <c r="C65" s="2" t="s">
        <v>346</v>
      </c>
      <c r="D65" s="2">
        <v>20.0</v>
      </c>
      <c r="E65" s="2">
        <v>1.0</v>
      </c>
      <c r="F65" s="2">
        <v>0.0</v>
      </c>
      <c r="H65" s="2">
        <v>0.0</v>
      </c>
      <c r="J65" s="3" t="s">
        <v>347</v>
      </c>
      <c r="K65" s="2" t="s">
        <v>348</v>
      </c>
      <c r="U65" s="8" t="str">
        <f t="shared" si="1"/>
        <v>CALL InsertOrUpdateProducto('70','Brillo final por 5 litros','Brillo final por 5 litros','20','1','0','','0','','https://img.quodom.com.ar/producto/70.png','Z70','','','','');</v>
      </c>
    </row>
    <row r="66">
      <c r="A66" s="2">
        <v>71.0</v>
      </c>
      <c r="B66" s="2" t="s">
        <v>349</v>
      </c>
      <c r="C66" s="2" t="s">
        <v>349</v>
      </c>
      <c r="D66" s="2">
        <v>20.0</v>
      </c>
      <c r="E66" s="2">
        <v>1.0</v>
      </c>
      <c r="F66" s="2">
        <v>0.0</v>
      </c>
      <c r="H66" s="2">
        <v>0.0</v>
      </c>
      <c r="J66" s="3" t="s">
        <v>350</v>
      </c>
      <c r="K66" s="2" t="s">
        <v>351</v>
      </c>
      <c r="U66" s="8" t="str">
        <f t="shared" si="1"/>
        <v>CALL InsertOrUpdateProducto('71','Desengrasante de carrocería por 5 lts','Desengrasante de carrocería por 5 lts','20','1','0','','0','','https://img.quodom.com.ar/producto/71.png','Z71','','','','');</v>
      </c>
    </row>
    <row r="67">
      <c r="A67" s="2">
        <v>72.0</v>
      </c>
      <c r="B67" s="2" t="s">
        <v>352</v>
      </c>
      <c r="C67" s="2" t="s">
        <v>352</v>
      </c>
      <c r="D67" s="2">
        <v>20.0</v>
      </c>
      <c r="E67" s="2">
        <v>1.0</v>
      </c>
      <c r="F67" s="2">
        <v>0.0</v>
      </c>
      <c r="H67" s="2">
        <v>0.0</v>
      </c>
      <c r="J67" s="3" t="s">
        <v>353</v>
      </c>
      <c r="K67" s="2" t="s">
        <v>354</v>
      </c>
      <c r="U67" s="8" t="str">
        <f t="shared" si="1"/>
        <v>CALL InsertOrUpdateProducto('72','Espuma activa por 5 litros','Espuma activa por 5 litros','20','1','0','','0','','https://img.quodom.com.ar/producto/72.png','Z72','','','','');</v>
      </c>
    </row>
    <row r="68">
      <c r="A68" s="2">
        <v>73.0</v>
      </c>
      <c r="B68" s="2" t="s">
        <v>355</v>
      </c>
      <c r="C68" s="2" t="s">
        <v>355</v>
      </c>
      <c r="D68" s="2">
        <v>20.0</v>
      </c>
      <c r="E68" s="2">
        <v>1.0</v>
      </c>
      <c r="F68" s="2">
        <v>0.0</v>
      </c>
      <c r="H68" s="2">
        <v>0.0</v>
      </c>
      <c r="J68" s="3" t="s">
        <v>356</v>
      </c>
      <c r="K68" s="2" t="s">
        <v>357</v>
      </c>
      <c r="U68" s="8" t="str">
        <f t="shared" si="1"/>
        <v>CALL InsertOrUpdateProducto('73','Lava motores por 5 litros','Lava motores por 5 litros','20','1','0','','0','','https://img.quodom.com.ar/producto/73.png','Z73','','','','');</v>
      </c>
    </row>
    <row r="69">
      <c r="A69" s="2">
        <v>74.0</v>
      </c>
      <c r="B69" s="2" t="s">
        <v>358</v>
      </c>
      <c r="C69" s="2" t="s">
        <v>358</v>
      </c>
      <c r="D69" s="2">
        <v>20.0</v>
      </c>
      <c r="E69" s="2">
        <v>1.0</v>
      </c>
      <c r="F69" s="2">
        <v>0.0</v>
      </c>
      <c r="H69" s="2">
        <v>0.0</v>
      </c>
      <c r="J69" s="3" t="s">
        <v>359</v>
      </c>
      <c r="K69" s="2" t="s">
        <v>360</v>
      </c>
      <c r="U69" s="8" t="str">
        <f t="shared" si="1"/>
        <v>CALL InsertOrUpdateProducto('74','Silicona cubiertas por 5 litros','Silicona cubiertas por 5 litros','20','1','0','','0','','https://img.quodom.com.ar/producto/74.png','Z74','','','','');</v>
      </c>
    </row>
    <row r="70">
      <c r="A70" s="2">
        <v>76.0</v>
      </c>
      <c r="B70" s="2" t="s">
        <v>361</v>
      </c>
      <c r="C70" s="2" t="s">
        <v>361</v>
      </c>
      <c r="D70" s="2">
        <v>21.0</v>
      </c>
      <c r="E70" s="2">
        <v>1.0</v>
      </c>
      <c r="F70" s="2">
        <v>0.0</v>
      </c>
      <c r="H70" s="2">
        <v>0.0</v>
      </c>
      <c r="J70" s="3" t="s">
        <v>362</v>
      </c>
      <c r="K70" s="2" t="s">
        <v>363</v>
      </c>
      <c r="U70" s="8" t="str">
        <f t="shared" si="1"/>
        <v>CALL InsertOrUpdateProducto('76','Alguicida por 5 litros','Alguicida por 5 litros','21','1','0','','0','','https://img.quodom.com.ar/producto/76.png','Z76','','','','');</v>
      </c>
    </row>
    <row r="71">
      <c r="A71" s="2">
        <v>77.0</v>
      </c>
      <c r="B71" s="2" t="s">
        <v>364</v>
      </c>
      <c r="C71" s="2" t="s">
        <v>364</v>
      </c>
      <c r="D71" s="2">
        <v>21.0</v>
      </c>
      <c r="E71" s="2">
        <v>1.0</v>
      </c>
      <c r="F71" s="2">
        <v>0.0</v>
      </c>
      <c r="H71" s="2">
        <v>0.0</v>
      </c>
      <c r="J71" s="3" t="s">
        <v>365</v>
      </c>
      <c r="K71" s="2" t="s">
        <v>366</v>
      </c>
      <c r="U71" s="8" t="str">
        <f t="shared" si="1"/>
        <v>CALL InsertOrUpdateProducto('77','Clarificador por 5 litros','Clarificador por 5 litros','21','1','0','','0','','https://img.quodom.com.ar/producto/77.png','Z77','','','','');</v>
      </c>
    </row>
    <row r="72">
      <c r="A72" s="2">
        <v>78.0</v>
      </c>
      <c r="B72" s="2" t="s">
        <v>367</v>
      </c>
      <c r="C72" s="2" t="s">
        <v>367</v>
      </c>
      <c r="D72" s="2">
        <v>21.0</v>
      </c>
      <c r="E72" s="2">
        <v>1.0</v>
      </c>
      <c r="F72" s="2">
        <v>0.0</v>
      </c>
      <c r="H72" s="2">
        <v>0.0</v>
      </c>
      <c r="J72" s="3" t="s">
        <v>368</v>
      </c>
      <c r="K72" s="2" t="s">
        <v>369</v>
      </c>
      <c r="U72" s="8" t="str">
        <f t="shared" si="1"/>
        <v>CALL InsertOrUpdateProducto('78','Cloro líquido por 5 litros','Cloro líquido por 5 litros','21','1','0','','0','','https://img.quodom.com.ar/producto/78.png','Z78','','','','');</v>
      </c>
    </row>
    <row r="73">
      <c r="A73" s="2">
        <v>79.0</v>
      </c>
      <c r="B73" s="2" t="s">
        <v>370</v>
      </c>
      <c r="C73" s="2" t="s">
        <v>370</v>
      </c>
      <c r="D73" s="2">
        <v>21.0</v>
      </c>
      <c r="E73" s="2">
        <v>1.0</v>
      </c>
      <c r="F73" s="2">
        <v>0.0</v>
      </c>
      <c r="H73" s="2">
        <v>0.0</v>
      </c>
      <c r="J73" s="3" t="s">
        <v>371</v>
      </c>
      <c r="K73" s="2" t="s">
        <v>372</v>
      </c>
      <c r="U73" s="8" t="str">
        <f t="shared" si="1"/>
        <v>CALL InsertOrUpdateProducto('79','Cloro granulado rápido por 5 litros','Cloro granulado rápido por 5 litros','21','1','0','','0','','https://img.quodom.com.ar/producto/79.png','Z79','','','','');</v>
      </c>
    </row>
    <row r="74">
      <c r="A74" s="2">
        <v>80.0</v>
      </c>
      <c r="B74" s="2" t="s">
        <v>373</v>
      </c>
      <c r="C74" s="2" t="s">
        <v>373</v>
      </c>
      <c r="D74" s="2">
        <v>21.0</v>
      </c>
      <c r="E74" s="2">
        <v>1.0</v>
      </c>
      <c r="F74" s="2">
        <v>0.0</v>
      </c>
      <c r="H74" s="2">
        <v>0.0</v>
      </c>
      <c r="J74" s="3" t="s">
        <v>374</v>
      </c>
      <c r="K74" s="2" t="s">
        <v>375</v>
      </c>
      <c r="U74" s="8" t="str">
        <f t="shared" si="1"/>
        <v>CALL InsertOrUpdateProducto('80','Cloro granulado lento por 5 litros','Cloro granulado lento por 5 litros','21','1','0','','0','','https://img.quodom.com.ar/producto/80.png','Z80','','','','');</v>
      </c>
    </row>
    <row r="75">
      <c r="A75" s="2">
        <v>81.0</v>
      </c>
      <c r="B75" s="2" t="s">
        <v>376</v>
      </c>
      <c r="C75" s="2" t="s">
        <v>376</v>
      </c>
      <c r="D75" s="2">
        <v>21.0</v>
      </c>
      <c r="E75" s="2">
        <v>1.0</v>
      </c>
      <c r="F75" s="2">
        <v>0.0</v>
      </c>
      <c r="H75" s="2">
        <v>0.0</v>
      </c>
      <c r="J75" s="3" t="s">
        <v>377</v>
      </c>
      <c r="K75" s="2" t="s">
        <v>378</v>
      </c>
      <c r="U75" s="8" t="str">
        <f t="shared" si="1"/>
        <v>CALL InsertOrUpdateProducto('81','Cloro en pastillas por 1 kg','Cloro en pastillas por 1 kg','21','1','0','','0','','https://img.quodom.com.ar/producto/81.png','Z81','','','','');</v>
      </c>
    </row>
    <row r="76">
      <c r="A76" s="2">
        <v>82.0</v>
      </c>
      <c r="B76" s="2" t="s">
        <v>379</v>
      </c>
      <c r="C76" s="2" t="s">
        <v>379</v>
      </c>
      <c r="D76" s="2">
        <v>30.0</v>
      </c>
      <c r="E76" s="2">
        <v>4.0</v>
      </c>
      <c r="F76" s="2">
        <v>0.0</v>
      </c>
      <c r="H76" s="2">
        <v>0.0</v>
      </c>
      <c r="J76" s="3" t="s">
        <v>380</v>
      </c>
      <c r="K76" s="2" t="s">
        <v>381</v>
      </c>
      <c r="U76" s="8" t="str">
        <f t="shared" si="1"/>
        <v>CALL InsertOrUpdateProducto('82','Cascote picado por m3','Cascote picado por m3','30','4','0','','0','','https://img.quodom.com.ar/producto/82.png','Z82','','','','');</v>
      </c>
    </row>
    <row r="77">
      <c r="A77" s="2">
        <v>83.0</v>
      </c>
      <c r="B77" s="2" t="s">
        <v>382</v>
      </c>
      <c r="C77" s="2" t="s">
        <v>382</v>
      </c>
      <c r="D77" s="2">
        <v>30.0</v>
      </c>
      <c r="E77" s="2">
        <v>4.0</v>
      </c>
      <c r="F77" s="2">
        <v>0.0</v>
      </c>
      <c r="H77" s="2">
        <v>0.0</v>
      </c>
      <c r="J77" s="3" t="s">
        <v>383</v>
      </c>
      <c r="K77" s="2" t="s">
        <v>384</v>
      </c>
      <c r="U77" s="8" t="str">
        <f t="shared" si="1"/>
        <v>CALL InsertOrUpdateProducto('83','Arena por m3','Arena por m3','30','4','0','','0','','https://img.quodom.com.ar/producto/83.png','Z83','','','','');</v>
      </c>
    </row>
    <row r="78">
      <c r="A78" s="2">
        <v>84.0</v>
      </c>
      <c r="B78" s="2" t="s">
        <v>385</v>
      </c>
      <c r="C78" s="2" t="s">
        <v>385</v>
      </c>
      <c r="D78" s="2">
        <v>30.0</v>
      </c>
      <c r="E78" s="2">
        <v>4.0</v>
      </c>
      <c r="F78" s="2">
        <v>0.0</v>
      </c>
      <c r="H78" s="2">
        <v>0.0</v>
      </c>
      <c r="J78" s="3" t="s">
        <v>386</v>
      </c>
      <c r="K78" s="2" t="s">
        <v>387</v>
      </c>
      <c r="U78" s="8" t="str">
        <f t="shared" si="1"/>
        <v>CALL InsertOrUpdateProducto('84','Tosca por m3','Tosca por m3','30','4','0','','0','','https://img.quodom.com.ar/producto/84.png','Z84','','','','');</v>
      </c>
    </row>
    <row r="79">
      <c r="A79" s="2">
        <v>85.0</v>
      </c>
      <c r="B79" s="2" t="s">
        <v>388</v>
      </c>
      <c r="C79" s="2" t="s">
        <v>388</v>
      </c>
      <c r="D79" s="2">
        <v>30.0</v>
      </c>
      <c r="E79" s="2">
        <v>4.0</v>
      </c>
      <c r="F79" s="2">
        <v>0.0</v>
      </c>
      <c r="H79" s="2">
        <v>0.0</v>
      </c>
      <c r="J79" s="3" t="s">
        <v>389</v>
      </c>
      <c r="K79" s="2" t="s">
        <v>390</v>
      </c>
      <c r="U79" s="8" t="str">
        <f t="shared" si="1"/>
        <v>CALL InsertOrUpdateProducto('85','Piedra blanca por m3','Piedra blanca por m3','30','4','0','','0','','https://img.quodom.com.ar/producto/85.png','Z85','','','','');</v>
      </c>
    </row>
    <row r="80">
      <c r="A80" s="2">
        <v>86.0</v>
      </c>
      <c r="B80" s="2" t="s">
        <v>391</v>
      </c>
      <c r="C80" s="2" t="s">
        <v>391</v>
      </c>
      <c r="D80" s="2">
        <v>30.0</v>
      </c>
      <c r="E80" s="2">
        <v>4.0</v>
      </c>
      <c r="F80" s="2">
        <v>0.0</v>
      </c>
      <c r="H80" s="2">
        <v>0.0</v>
      </c>
      <c r="J80" s="3" t="s">
        <v>392</v>
      </c>
      <c r="K80" s="2" t="s">
        <v>393</v>
      </c>
      <c r="U80" s="8" t="str">
        <f t="shared" si="1"/>
        <v>CALL InsertOrUpdateProducto('86','Piedra binder 3/6 por m3','Piedra binder 3/6 por m3','30','4','0','','0','','https://img.quodom.com.ar/producto/86.png','Z86','','','','');</v>
      </c>
    </row>
    <row r="81">
      <c r="A81" s="2">
        <v>87.0</v>
      </c>
      <c r="B81" s="2" t="s">
        <v>394</v>
      </c>
      <c r="C81" s="2" t="s">
        <v>394</v>
      </c>
      <c r="D81" s="2">
        <v>30.0</v>
      </c>
      <c r="E81" s="2">
        <v>4.0</v>
      </c>
      <c r="F81" s="2">
        <v>0.0</v>
      </c>
      <c r="H81" s="2">
        <v>0.0</v>
      </c>
      <c r="J81" s="3" t="s">
        <v>395</v>
      </c>
      <c r="K81" s="2" t="s">
        <v>396</v>
      </c>
      <c r="U81" s="8" t="str">
        <f t="shared" si="1"/>
        <v>CALL InsertOrUpdateProducto('87','Piedra binder 6/12 por m3','Piedra binder 6/12 por m3','30','4','0','','0','','https://img.quodom.com.ar/producto/87.png','Z87','','','','');</v>
      </c>
    </row>
    <row r="82">
      <c r="A82" s="2">
        <v>88.0</v>
      </c>
      <c r="B82" s="2" t="s">
        <v>397</v>
      </c>
      <c r="C82" s="2" t="s">
        <v>397</v>
      </c>
      <c r="D82" s="2">
        <v>30.0</v>
      </c>
      <c r="E82" s="2">
        <v>4.0</v>
      </c>
      <c r="F82" s="2">
        <v>0.0</v>
      </c>
      <c r="H82" s="2">
        <v>0.0</v>
      </c>
      <c r="J82" s="3" t="s">
        <v>398</v>
      </c>
      <c r="K82" s="2" t="s">
        <v>399</v>
      </c>
      <c r="U82" s="8" t="str">
        <f t="shared" si="1"/>
        <v>CALL InsertOrUpdateProducto('88','Piedra binder 6/20 por m3','Piedra binder 6/20 por m3','30','4','0','','0','','https://img.quodom.com.ar/producto/88.png','Z88','','','','');</v>
      </c>
    </row>
    <row r="83">
      <c r="A83" s="2">
        <v>89.0</v>
      </c>
      <c r="B83" s="2" t="s">
        <v>400</v>
      </c>
      <c r="C83" s="2" t="s">
        <v>400</v>
      </c>
      <c r="D83" s="2">
        <v>31.0</v>
      </c>
      <c r="E83" s="2">
        <v>4.0</v>
      </c>
      <c r="F83" s="2">
        <v>0.0</v>
      </c>
      <c r="H83" s="2">
        <v>0.0</v>
      </c>
      <c r="J83" s="3" t="s">
        <v>401</v>
      </c>
      <c r="K83" s="2" t="s">
        <v>402</v>
      </c>
      <c r="U83" s="8" t="str">
        <f t="shared" si="1"/>
        <v>CALL InsertOrUpdateProducto('89','Cemento por 50 kg','Cemento por 50 kg','31','4','0','','0','','https://img.quodom.com.ar/producto/89.png','Z89','','','','');</v>
      </c>
    </row>
    <row r="84">
      <c r="A84" s="2">
        <v>90.0</v>
      </c>
      <c r="B84" s="2" t="s">
        <v>403</v>
      </c>
      <c r="C84" s="2" t="s">
        <v>403</v>
      </c>
      <c r="D84" s="2">
        <v>31.0</v>
      </c>
      <c r="E84" s="2">
        <v>4.0</v>
      </c>
      <c r="F84" s="2">
        <v>0.0</v>
      </c>
      <c r="H84" s="2">
        <v>0.0</v>
      </c>
      <c r="J84" s="3" t="s">
        <v>404</v>
      </c>
      <c r="K84" s="2" t="s">
        <v>405</v>
      </c>
      <c r="U84" s="8" t="str">
        <f t="shared" si="1"/>
        <v>CALL InsertOrUpdateProducto('90','Cal por 25 kg','Cal por 25 kg','31','4','0','','0','','https://img.quodom.com.ar/producto/90.png','Z90','','','','');</v>
      </c>
    </row>
    <row r="85">
      <c r="A85" s="2">
        <v>91.0</v>
      </c>
      <c r="B85" s="2" t="s">
        <v>406</v>
      </c>
      <c r="C85" s="2" t="s">
        <v>406</v>
      </c>
      <c r="D85" s="2">
        <v>31.0</v>
      </c>
      <c r="E85" s="2">
        <v>4.0</v>
      </c>
      <c r="F85" s="2">
        <v>0.0</v>
      </c>
      <c r="H85" s="2">
        <v>0.0</v>
      </c>
      <c r="J85" s="3" t="s">
        <v>407</v>
      </c>
      <c r="K85" s="2" t="s">
        <v>408</v>
      </c>
      <c r="U85" s="8" t="str">
        <f t="shared" si="1"/>
        <v>CALL InsertOrUpdateProducto('91','Yeso por 30 kg','Yeso por 30 kg','31','4','0','','0','','https://img.quodom.com.ar/producto/91.png','Z91','','','','');</v>
      </c>
    </row>
    <row r="86">
      <c r="A86" s="2">
        <v>92.0</v>
      </c>
      <c r="B86" s="2" t="s">
        <v>409</v>
      </c>
      <c r="C86" s="2" t="s">
        <v>409</v>
      </c>
      <c r="D86" s="2">
        <v>31.0</v>
      </c>
      <c r="E86" s="2">
        <v>4.0</v>
      </c>
      <c r="F86" s="2">
        <v>0.0</v>
      </c>
      <c r="H86" s="2">
        <v>0.0</v>
      </c>
      <c r="J86" s="3" t="s">
        <v>410</v>
      </c>
      <c r="K86" s="2" t="s">
        <v>411</v>
      </c>
      <c r="U86" s="8" t="str">
        <f t="shared" si="1"/>
        <v>CALL InsertOrUpdateProducto('92','Ceresita 20 kg','Ceresita 20 kg','31','4','0','','0','','https://img.quodom.com.ar/producto/92.png','Z92','','','','');</v>
      </c>
    </row>
    <row r="87">
      <c r="A87" s="2">
        <v>93.0</v>
      </c>
      <c r="B87" s="2" t="s">
        <v>412</v>
      </c>
      <c r="C87" s="2" t="s">
        <v>412</v>
      </c>
      <c r="D87" s="2">
        <v>31.0</v>
      </c>
      <c r="E87" s="2">
        <v>4.0</v>
      </c>
      <c r="F87" s="2">
        <v>0.0</v>
      </c>
      <c r="H87" s="2">
        <v>0.0</v>
      </c>
      <c r="J87" s="3" t="s">
        <v>413</v>
      </c>
      <c r="K87" s="2" t="s">
        <v>414</v>
      </c>
      <c r="U87" s="8" t="str">
        <f t="shared" si="1"/>
        <v>CALL InsertOrUpdateProducto('93','Revoque fino interior por 30 kg','Revoque fino interior por 30 kg','31','4','0','','0','','https://img.quodom.com.ar/producto/93.png','Z93','','','','');</v>
      </c>
    </row>
    <row r="88">
      <c r="A88" s="2">
        <v>94.0</v>
      </c>
      <c r="B88" s="2" t="s">
        <v>415</v>
      </c>
      <c r="C88" s="2" t="s">
        <v>415</v>
      </c>
      <c r="D88" s="2">
        <v>31.0</v>
      </c>
      <c r="E88" s="2">
        <v>4.0</v>
      </c>
      <c r="F88" s="2">
        <v>0.0</v>
      </c>
      <c r="H88" s="2">
        <v>0.0</v>
      </c>
      <c r="J88" s="3" t="s">
        <v>416</v>
      </c>
      <c r="K88" s="2" t="s">
        <v>417</v>
      </c>
      <c r="U88" s="8" t="str">
        <f t="shared" si="1"/>
        <v>CALL InsertOrUpdateProducto('94','Mortero de reparación por 25 kg','Mortero de reparación por 25 kg','31','4','0','','0','','https://img.quodom.com.ar/producto/94.png','Z94','','','','');</v>
      </c>
    </row>
    <row r="89">
      <c r="A89" s="2">
        <v>95.0</v>
      </c>
      <c r="B89" s="2" t="s">
        <v>418</v>
      </c>
      <c r="C89" s="2" t="s">
        <v>418</v>
      </c>
      <c r="D89" s="2">
        <v>31.0</v>
      </c>
      <c r="E89" s="2">
        <v>4.0</v>
      </c>
      <c r="F89" s="2">
        <v>0.0</v>
      </c>
      <c r="H89" s="2">
        <v>0.0</v>
      </c>
      <c r="J89" s="3" t="s">
        <v>419</v>
      </c>
      <c r="K89" s="2" t="s">
        <v>420</v>
      </c>
      <c r="U89" s="8" t="str">
        <f t="shared" si="1"/>
        <v>CALL InsertOrUpdateProducto('95','Tierra refractaria 10 kg','Tierra refractaria 10 kg','31','4','0','','0','','https://img.quodom.com.ar/producto/95.png','Z95','','','','');</v>
      </c>
    </row>
    <row r="90">
      <c r="A90" s="2">
        <v>96.0</v>
      </c>
      <c r="B90" s="2" t="s">
        <v>421</v>
      </c>
      <c r="C90" s="2" t="s">
        <v>421</v>
      </c>
      <c r="D90" s="2">
        <v>31.0</v>
      </c>
      <c r="E90" s="2">
        <v>4.0</v>
      </c>
      <c r="F90" s="2">
        <v>0.0</v>
      </c>
      <c r="H90" s="2">
        <v>0.0</v>
      </c>
      <c r="J90" s="3" t="s">
        <v>422</v>
      </c>
      <c r="K90" s="2" t="s">
        <v>423</v>
      </c>
      <c r="U90" s="8" t="str">
        <f t="shared" si="1"/>
        <v>CALL InsertOrUpdateProducto('96','Adhesivo refractario 20 kg','Adhesivo refractario 20 kg','31','4','0','','0','','https://img.quodom.com.ar/producto/96.png','Z96','','','','');</v>
      </c>
    </row>
    <row r="91">
      <c r="A91" s="2">
        <v>97.0</v>
      </c>
      <c r="B91" s="2" t="s">
        <v>424</v>
      </c>
      <c r="C91" s="2" t="s">
        <v>424</v>
      </c>
      <c r="D91" s="2">
        <v>32.0</v>
      </c>
      <c r="E91" s="2">
        <v>4.0</v>
      </c>
      <c r="F91" s="2">
        <v>0.0</v>
      </c>
      <c r="H91" s="2">
        <v>0.0</v>
      </c>
      <c r="J91" s="3" t="s">
        <v>425</v>
      </c>
      <c r="K91" s="2" t="s">
        <v>426</v>
      </c>
      <c r="U91" s="8" t="str">
        <f t="shared" si="1"/>
        <v>CALL InsertOrUpdateProducto('97','Ladrillo techo 11 x 38 x 24 cm (pallet 80 unidades)','Ladrillo techo 11 x 38 x 24 cm (pallet 80 unidades)','32','4','0','','0','','https://img.quodom.com.ar/producto/97.png','Z97','','','','');</v>
      </c>
    </row>
    <row r="92">
      <c r="A92" s="2">
        <v>98.0</v>
      </c>
      <c r="B92" s="2" t="s">
        <v>427</v>
      </c>
      <c r="C92" s="2" t="s">
        <v>427</v>
      </c>
      <c r="D92" s="2">
        <v>32.0</v>
      </c>
      <c r="E92" s="2">
        <v>4.0</v>
      </c>
      <c r="F92" s="2">
        <v>0.0</v>
      </c>
      <c r="H92" s="2">
        <v>0.0</v>
      </c>
      <c r="J92" s="3" t="s">
        <v>428</v>
      </c>
      <c r="K92" s="2" t="s">
        <v>429</v>
      </c>
      <c r="U92" s="8" t="str">
        <f t="shared" si="1"/>
        <v>CALL InsertOrUpdateProducto('98','Klimablock 27 x 19 x 20 cm (pallet 75 unidades)','Klimablock 27 x 19 x 20 cm (pallet 75 unidades)','32','4','0','','0','','https://img.quodom.com.ar/producto/98.png','Z98','','','','');</v>
      </c>
    </row>
    <row r="93">
      <c r="A93" s="2">
        <v>99.0</v>
      </c>
      <c r="B93" s="2" t="s">
        <v>430</v>
      </c>
      <c r="C93" s="2" t="s">
        <v>431</v>
      </c>
      <c r="D93" s="2">
        <v>32.0</v>
      </c>
      <c r="E93" s="2">
        <v>4.0</v>
      </c>
      <c r="F93" s="2">
        <v>0.0</v>
      </c>
      <c r="H93" s="2">
        <v>0.0</v>
      </c>
      <c r="J93" s="3" t="s">
        <v>432</v>
      </c>
      <c r="K93" s="2" t="s">
        <v>433</v>
      </c>
      <c r="U93" s="8" t="str">
        <f t="shared" si="1"/>
        <v>CALL InsertOrUpdateProducto('99','Ladrillo común 24 x 11 x 5,5 cm (40 unidades)','Ladrillo común 24 x11 x 5,5 cm (40 unidades)','32','4','0','','0','','https://img.quodom.com.ar/producto/99.png','Z99','','','','');</v>
      </c>
    </row>
    <row r="94">
      <c r="A94" s="2">
        <v>100.0</v>
      </c>
      <c r="B94" s="2" t="s">
        <v>434</v>
      </c>
      <c r="C94" s="2" t="s">
        <v>435</v>
      </c>
      <c r="D94" s="2">
        <v>32.0</v>
      </c>
      <c r="E94" s="2">
        <v>4.0</v>
      </c>
      <c r="F94" s="2">
        <v>0.0</v>
      </c>
      <c r="H94" s="2">
        <v>0.0</v>
      </c>
      <c r="J94" s="3" t="s">
        <v>436</v>
      </c>
      <c r="K94" s="2" t="s">
        <v>437</v>
      </c>
      <c r="U94" s="8" t="str">
        <f t="shared" si="1"/>
        <v>CALL InsertOrUpdateProducto('100','Listón Mar del Plata 23 x 11,5 x 12 cm (50 unidades)','Listón Mar del Plata 23x11,5x12 cm (50 unidades)','32','4','0','','0','','https://img.quodom.com.ar/producto/100.png','Z100','','','','');</v>
      </c>
    </row>
    <row r="95">
      <c r="A95" s="2">
        <v>101.0</v>
      </c>
      <c r="B95" s="2" t="s">
        <v>438</v>
      </c>
      <c r="C95" s="2" t="s">
        <v>438</v>
      </c>
      <c r="D95" s="2">
        <v>32.0</v>
      </c>
      <c r="E95" s="2">
        <v>4.0</v>
      </c>
      <c r="F95" s="2">
        <v>0.0</v>
      </c>
      <c r="H95" s="2">
        <v>0.0</v>
      </c>
      <c r="J95" s="3" t="s">
        <v>439</v>
      </c>
      <c r="K95" s="2" t="s">
        <v>440</v>
      </c>
      <c r="U95" s="8" t="str">
        <f t="shared" si="1"/>
        <v>CALL InsertOrUpdateProducto('101','Ladrillo 1/2 vista 23 x 11 x 5 cm (50 unidades)','Ladrillo 1/2 vista 23 x 11 x 5 cm (50 unidades)','32','4','0','','0','','https://img.quodom.com.ar/producto/101.png','Z101','','','','');</v>
      </c>
    </row>
    <row r="96">
      <c r="A96" s="2">
        <v>102.0</v>
      </c>
      <c r="B96" s="2" t="s">
        <v>441</v>
      </c>
      <c r="C96" s="2" t="s">
        <v>441</v>
      </c>
      <c r="D96" s="2">
        <v>32.0</v>
      </c>
      <c r="E96" s="2">
        <v>4.0</v>
      </c>
      <c r="F96" s="2">
        <v>0.0</v>
      </c>
      <c r="H96" s="2">
        <v>0.0</v>
      </c>
      <c r="J96" s="3" t="s">
        <v>442</v>
      </c>
      <c r="K96" s="2" t="s">
        <v>443</v>
      </c>
      <c r="U96" s="8" t="str">
        <f t="shared" si="1"/>
        <v>CALL InsertOrUpdateProducto('102','Ladrillo vista 23 x 11 x 5 cm (50 unidades)','Ladrillo vista 23 x 11 x 5 cm (50 unidades)','32','4','0','','0','','https://img.quodom.com.ar/producto/102.png','Z102','','','','');</v>
      </c>
    </row>
    <row r="97">
      <c r="A97" s="2">
        <v>103.0</v>
      </c>
      <c r="B97" s="2" t="s">
        <v>444</v>
      </c>
      <c r="C97" s="2" t="s">
        <v>444</v>
      </c>
      <c r="D97" s="2">
        <v>32.0</v>
      </c>
      <c r="E97" s="2">
        <v>4.0</v>
      </c>
      <c r="F97" s="2">
        <v>0.0</v>
      </c>
      <c r="H97" s="2">
        <v>0.0</v>
      </c>
      <c r="J97" s="3" t="s">
        <v>445</v>
      </c>
      <c r="K97" s="2" t="s">
        <v>446</v>
      </c>
      <c r="U97" s="8" t="str">
        <f t="shared" si="1"/>
        <v>CALL InsertOrUpdateProducto('103','Ladrillo hueco 8 x 18 x 33 cm (50 unidades)','Ladrillo hueco 8 x 18 x 33 cm (50 unidades)','32','4','0','','0','','https://img.quodom.com.ar/producto/103.png','Z103','','','','');</v>
      </c>
    </row>
    <row r="98">
      <c r="A98" s="2">
        <v>104.0</v>
      </c>
      <c r="B98" s="2" t="s">
        <v>447</v>
      </c>
      <c r="C98" s="2" t="s">
        <v>448</v>
      </c>
      <c r="D98" s="2">
        <v>32.0</v>
      </c>
      <c r="E98" s="2">
        <v>4.0</v>
      </c>
      <c r="F98" s="2">
        <v>0.0</v>
      </c>
      <c r="H98" s="2">
        <v>0.0</v>
      </c>
      <c r="J98" s="3" t="s">
        <v>449</v>
      </c>
      <c r="K98" s="2" t="s">
        <v>450</v>
      </c>
      <c r="U98" s="8" t="str">
        <f t="shared" si="1"/>
        <v>CALL InsertOrUpdateProducto('104','Ladrillo hueco 12 x 18 x 33 cm – 6 agujeros (50 unidades)','Ladrillo hueco 12 x 18 x 33 cm – 6 agujeros','32','4','0','','0','','https://img.quodom.com.ar/producto/104.png','Z104','','','','');</v>
      </c>
    </row>
    <row r="99">
      <c r="A99" s="2">
        <v>105.0</v>
      </c>
      <c r="B99" s="2" t="s">
        <v>451</v>
      </c>
      <c r="C99" s="2" t="s">
        <v>451</v>
      </c>
      <c r="D99" s="2">
        <v>32.0</v>
      </c>
      <c r="E99" s="2">
        <v>4.0</v>
      </c>
      <c r="F99" s="2">
        <v>0.0</v>
      </c>
      <c r="H99" s="2">
        <v>0.0</v>
      </c>
      <c r="J99" s="3" t="s">
        <v>452</v>
      </c>
      <c r="K99" s="2" t="s">
        <v>453</v>
      </c>
      <c r="U99" s="8" t="str">
        <f t="shared" si="1"/>
        <v>CALL InsertOrUpdateProducto('105','Ladrillo hueco 12 x 18 x 33 cm – 9 agujeros (50 unidades)','Ladrillo hueco 12 x 18 x 33 cm – 9 agujeros (50 unidades)','32','4','0','','0','','https://img.quodom.com.ar/producto/105.png','Z105','','','','');</v>
      </c>
    </row>
    <row r="100">
      <c r="A100" s="2">
        <v>106.0</v>
      </c>
      <c r="B100" s="2" t="s">
        <v>454</v>
      </c>
      <c r="C100" s="2" t="s">
        <v>454</v>
      </c>
      <c r="D100" s="2">
        <v>32.0</v>
      </c>
      <c r="E100" s="2">
        <v>4.0</v>
      </c>
      <c r="F100" s="2">
        <v>0.0</v>
      </c>
      <c r="H100" s="2">
        <v>0.0</v>
      </c>
      <c r="J100" s="3" t="s">
        <v>455</v>
      </c>
      <c r="K100" s="2" t="s">
        <v>456</v>
      </c>
      <c r="U100" s="8" t="str">
        <f t="shared" si="1"/>
        <v>CALL InsertOrUpdateProducto('106','Ladrillo hueco 18 x 18 x 33 cm (50 unidades)','Ladrillo hueco 18 x 18 x 33 cm (50 unidades)','32','4','0','','0','','https://img.quodom.com.ar/producto/106.png','Z106','','','','');</v>
      </c>
    </row>
    <row r="101">
      <c r="A101" s="2">
        <v>107.0</v>
      </c>
      <c r="B101" s="2" t="s">
        <v>457</v>
      </c>
      <c r="C101" s="2" t="s">
        <v>457</v>
      </c>
      <c r="D101" s="2">
        <v>32.0</v>
      </c>
      <c r="E101" s="2">
        <v>4.0</v>
      </c>
      <c r="F101" s="2">
        <v>0.0</v>
      </c>
      <c r="H101" s="2">
        <v>0.0</v>
      </c>
      <c r="J101" s="3" t="s">
        <v>458</v>
      </c>
      <c r="K101" s="2" t="s">
        <v>459</v>
      </c>
      <c r="U101" s="8" t="str">
        <f t="shared" si="1"/>
        <v>CALL InsertOrUpdateProducto('107','Ladrillo portante 12 x 19 x 33 cm (50 unidades)','Ladrillo portante 12 x 19 x 33 cm (50 unidades)','32','4','0','','0','','https://img.quodom.com.ar/producto/107.png','Z107','','','','');</v>
      </c>
    </row>
    <row r="102">
      <c r="A102" s="2">
        <v>108.0</v>
      </c>
      <c r="B102" s="2" t="s">
        <v>460</v>
      </c>
      <c r="C102" s="2" t="s">
        <v>460</v>
      </c>
      <c r="D102" s="2">
        <v>32.0</v>
      </c>
      <c r="E102" s="2">
        <v>4.0</v>
      </c>
      <c r="F102" s="2">
        <v>0.0</v>
      </c>
      <c r="H102" s="2">
        <v>0.0</v>
      </c>
      <c r="J102" s="3" t="s">
        <v>461</v>
      </c>
      <c r="K102" s="2" t="s">
        <v>462</v>
      </c>
      <c r="U102" s="8" t="str">
        <f t="shared" si="1"/>
        <v>CALL InsertOrUpdateProducto('108','Ladrillo portante 18 x 19 x 33 cm (50 unidades)','Ladrillo portante 18 x 19 x 33 cm (50 unidades)','32','4','0','','0','','https://img.quodom.com.ar/producto/108.png','Z108','','','','');</v>
      </c>
    </row>
    <row r="103">
      <c r="A103" s="2">
        <v>109.0</v>
      </c>
      <c r="B103" s="2" t="s">
        <v>463</v>
      </c>
      <c r="C103" s="2" t="s">
        <v>463</v>
      </c>
      <c r="D103" s="2">
        <v>32.0</v>
      </c>
      <c r="E103" s="2">
        <v>4.0</v>
      </c>
      <c r="F103" s="2">
        <v>0.0</v>
      </c>
      <c r="H103" s="2">
        <v>0.0</v>
      </c>
      <c r="J103" s="3" t="s">
        <v>464</v>
      </c>
      <c r="K103" s="2" t="s">
        <v>465</v>
      </c>
      <c r="U103" s="8" t="str">
        <f t="shared" si="1"/>
        <v>CALL InsertOrUpdateProducto('109','Ladrillo refractario 22 x 11 x 6 cm (50 unidades)','Ladrillo refractario 22 x 11 x 6 cm (50 unidades)','32','4','0','','0','','https://img.quodom.com.ar/producto/109.png','Z109','','','','');</v>
      </c>
    </row>
    <row r="104">
      <c r="A104" s="2">
        <v>110.0</v>
      </c>
      <c r="B104" s="2" t="s">
        <v>466</v>
      </c>
      <c r="C104" s="2" t="s">
        <v>467</v>
      </c>
      <c r="D104" s="2">
        <v>32.0</v>
      </c>
      <c r="E104" s="2">
        <v>4.0</v>
      </c>
      <c r="F104" s="2">
        <v>0.0</v>
      </c>
      <c r="H104" s="2">
        <v>0.0</v>
      </c>
      <c r="J104" s="3" t="s">
        <v>468</v>
      </c>
      <c r="K104" s="2" t="s">
        <v>469</v>
      </c>
      <c r="U104" s="8" t="str">
        <f t="shared" si="1"/>
        <v>CALL InsertOrUpdateProducto('110','Listón refractario 22 x 6 x 2 cm (30 unidades)','Listón refractario 22 x 6 x 2 cm (50 unidades)','32','4','0','','0','','https://img.quodom.com.ar/producto/110.png','Z110','','','','');</v>
      </c>
    </row>
    <row r="105">
      <c r="A105" s="2">
        <v>111.0</v>
      </c>
      <c r="B105" s="2" t="s">
        <v>470</v>
      </c>
      <c r="C105" s="2" t="s">
        <v>471</v>
      </c>
      <c r="D105" s="2">
        <v>32.0</v>
      </c>
      <c r="E105" s="2">
        <v>4.0</v>
      </c>
      <c r="F105" s="2">
        <v>0.0</v>
      </c>
      <c r="H105" s="2">
        <v>0.0</v>
      </c>
      <c r="J105" s="3" t="s">
        <v>472</v>
      </c>
      <c r="K105" s="2" t="s">
        <v>473</v>
      </c>
      <c r="U105" s="8" t="str">
        <f t="shared" si="1"/>
        <v>CALL InsertOrUpdateProducto('111','Tejuela refractaria 23 x 12 x 2 cm (30 unidades)','Tejuela refractaria 23 x 12 x 2 cm (50 unidades)','32','4','0','','0','','https://img.quodom.com.ar/producto/111.png','Z111','','','','');</v>
      </c>
    </row>
    <row r="106">
      <c r="A106" s="2">
        <v>112.0</v>
      </c>
      <c r="B106" s="2" t="s">
        <v>474</v>
      </c>
      <c r="C106" s="2" t="s">
        <v>475</v>
      </c>
      <c r="D106" s="2">
        <v>32.0</v>
      </c>
      <c r="E106" s="2">
        <v>4.0</v>
      </c>
      <c r="F106" s="2">
        <v>0.0</v>
      </c>
      <c r="H106" s="2">
        <v>0.0</v>
      </c>
      <c r="J106" s="3" t="s">
        <v>476</v>
      </c>
      <c r="K106" s="2" t="s">
        <v>477</v>
      </c>
      <c r="U106" s="8" t="str">
        <f t="shared" si="1"/>
        <v>CALL InsertOrUpdateProducto('112','Naríz refractaria 22 x 11 x 2 cm (30 unidades)','Naríz refractaria 22 x 11 x 2 cm (50 unidades)','32','4','0','','0','','https://img.quodom.com.ar/producto/112.png','Z112','','','','');</v>
      </c>
    </row>
    <row r="107">
      <c r="A107" s="2">
        <v>113.0</v>
      </c>
      <c r="B107" s="2" t="s">
        <v>478</v>
      </c>
      <c r="C107" s="2" t="s">
        <v>479</v>
      </c>
      <c r="D107" s="2">
        <v>32.0</v>
      </c>
      <c r="E107" s="2">
        <v>4.0</v>
      </c>
      <c r="F107" s="2">
        <v>0.0</v>
      </c>
      <c r="H107" s="2">
        <v>0.0</v>
      </c>
      <c r="J107" s="3" t="s">
        <v>480</v>
      </c>
      <c r="K107" s="2" t="s">
        <v>481</v>
      </c>
      <c r="U107" s="8" t="str">
        <f t="shared" si="1"/>
        <v>CALL InsertOrUpdateProducto('113','Naríz refractaria 15 x 6 x 3 cm (30 unidades)','Naríz refractaria 15 x 6 x 3 cm (50 unidades)','32','4','0','','0','','https://img.quodom.com.ar/producto/113.png','Z113','','','','');</v>
      </c>
    </row>
    <row r="108">
      <c r="A108" s="2">
        <v>114.0</v>
      </c>
      <c r="B108" s="2" t="s">
        <v>482</v>
      </c>
      <c r="C108" s="2" t="s">
        <v>482</v>
      </c>
      <c r="D108" s="2">
        <v>32.0</v>
      </c>
      <c r="E108" s="2">
        <v>4.0</v>
      </c>
      <c r="F108" s="2">
        <v>0.0</v>
      </c>
      <c r="H108" s="2">
        <v>0.0</v>
      </c>
      <c r="J108" s="3" t="s">
        <v>483</v>
      </c>
      <c r="K108" s="2" t="s">
        <v>484</v>
      </c>
      <c r="U108" s="8" t="str">
        <f t="shared" si="1"/>
        <v>CALL InsertOrUpdateProducto('114','Bloque de hormigon Liso T10 9 x 39 x 19 cm (25 unidades)','Bloque de hormigon Liso T10 9 x 39 x 19 cm (25 unidades)','32','4','0','','0','','https://img.quodom.com.ar/producto/114.png','Z114','','','','');</v>
      </c>
    </row>
    <row r="109">
      <c r="A109" s="2">
        <v>115.0</v>
      </c>
      <c r="B109" s="2" t="s">
        <v>485</v>
      </c>
      <c r="C109" s="2" t="s">
        <v>485</v>
      </c>
      <c r="D109" s="2">
        <v>32.0</v>
      </c>
      <c r="E109" s="2">
        <v>4.0</v>
      </c>
      <c r="F109" s="2">
        <v>0.0</v>
      </c>
      <c r="H109" s="2">
        <v>0.0</v>
      </c>
      <c r="J109" s="3" t="s">
        <v>486</v>
      </c>
      <c r="K109" s="2" t="s">
        <v>487</v>
      </c>
      <c r="U109" s="8" t="str">
        <f t="shared" si="1"/>
        <v>CALL InsertOrUpdateProducto('115','Bloque de hormigon Liso P13 13 x 39 x 19 cm (25 unidades)','Bloque de hormigon Liso P13 13 x 39 x 19 cm (25 unidades)','32','4','0','','0','','https://img.quodom.com.ar/producto/115.png','Z115','','','','');</v>
      </c>
    </row>
    <row r="110">
      <c r="A110" s="2">
        <v>116.0</v>
      </c>
      <c r="B110" s="2" t="s">
        <v>488</v>
      </c>
      <c r="C110" s="2" t="s">
        <v>488</v>
      </c>
      <c r="D110" s="2">
        <v>32.0</v>
      </c>
      <c r="E110" s="2">
        <v>4.0</v>
      </c>
      <c r="F110" s="2">
        <v>0.0</v>
      </c>
      <c r="H110" s="2">
        <v>0.0</v>
      </c>
      <c r="J110" s="3" t="s">
        <v>489</v>
      </c>
      <c r="K110" s="2" t="s">
        <v>490</v>
      </c>
      <c r="U110" s="8" t="str">
        <f t="shared" si="1"/>
        <v>CALL InsertOrUpdateProducto('116','Bloque de hormigon Liso P20 PC 19 x 39 x 19 cm (25 unidades)','Bloque de hormigon Liso P20 PC 19 x 39 x 19 cm (25 unidades)','32','4','0','','0','','https://img.quodom.com.ar/producto/116.png','Z116','','','','');</v>
      </c>
    </row>
    <row r="111">
      <c r="A111" s="2">
        <v>117.0</v>
      </c>
      <c r="B111" s="2" t="s">
        <v>491</v>
      </c>
      <c r="C111" s="2" t="s">
        <v>491</v>
      </c>
      <c r="D111" s="2">
        <v>32.0</v>
      </c>
      <c r="E111" s="2">
        <v>4.0</v>
      </c>
      <c r="F111" s="2">
        <v>0.0</v>
      </c>
      <c r="H111" s="2">
        <v>0.0</v>
      </c>
      <c r="J111" s="3" t="s">
        <v>492</v>
      </c>
      <c r="K111" s="2" t="s">
        <v>493</v>
      </c>
      <c r="U111" s="8" t="str">
        <f t="shared" si="1"/>
        <v>CALL InsertOrUpdateProducto('117','Bloque de hormigon Split clas. gris P13 SPT 13x39x19 cm (25 unidades)','Bloque de hormigon Split clas. gris P13 SPT 13x39x19 cm (25 unidades)','32','4','0','','0','','https://img.quodom.com.ar/producto/117.png','Z117','','','','');</v>
      </c>
    </row>
    <row r="112">
      <c r="A112" s="2">
        <v>118.0</v>
      </c>
      <c r="B112" s="2" t="s">
        <v>494</v>
      </c>
      <c r="C112" s="2" t="s">
        <v>494</v>
      </c>
      <c r="D112" s="2">
        <v>32.0</v>
      </c>
      <c r="E112" s="2">
        <v>4.0</v>
      </c>
      <c r="F112" s="2">
        <v>0.0</v>
      </c>
      <c r="H112" s="2">
        <v>0.0</v>
      </c>
      <c r="J112" s="3" t="s">
        <v>495</v>
      </c>
      <c r="K112" s="2" t="s">
        <v>496</v>
      </c>
      <c r="U112" s="8" t="str">
        <f t="shared" si="1"/>
        <v>CALL InsertOrUpdateProducto('118','Bloque de hormigon Split clas. gris P20 SPT 19x39x19 cm (25 unidades)','Bloque de hormigon Split clas. gris P20 SPT 19x39x19 cm (25 unidades)','32','4','0','','0','','https://img.quodom.com.ar/producto/118.png','Z118','','','','');</v>
      </c>
    </row>
    <row r="113">
      <c r="A113" s="2">
        <v>119.0</v>
      </c>
      <c r="B113" s="2" t="s">
        <v>497</v>
      </c>
      <c r="C113" s="2" t="s">
        <v>497</v>
      </c>
      <c r="D113" s="2">
        <v>32.0</v>
      </c>
      <c r="E113" s="2">
        <v>4.0</v>
      </c>
      <c r="F113" s="2">
        <v>0.0</v>
      </c>
      <c r="H113" s="2">
        <v>0.0</v>
      </c>
      <c r="J113" s="3" t="s">
        <v>498</v>
      </c>
      <c r="K113" s="2" t="s">
        <v>499</v>
      </c>
      <c r="L113" s="2" t="s">
        <v>263</v>
      </c>
      <c r="U113" s="8" t="str">
        <f t="shared" si="1"/>
        <v>CALL InsertOrUpdateProducto('119','Vigueta pretensada','Vigueta pretensada','32','4','0','','0','','https://img.quodom.com.ar/producto/119.png','Z119','MEDIDAS','','','');</v>
      </c>
    </row>
    <row r="114">
      <c r="A114" s="2">
        <v>120.0</v>
      </c>
      <c r="B114" s="2" t="s">
        <v>500</v>
      </c>
      <c r="C114" s="2" t="s">
        <v>501</v>
      </c>
      <c r="D114" s="2">
        <v>32.0</v>
      </c>
      <c r="E114" s="2">
        <v>4.0</v>
      </c>
      <c r="F114" s="2">
        <v>0.0</v>
      </c>
      <c r="H114" s="2">
        <v>0.0</v>
      </c>
      <c r="J114" s="3" t="s">
        <v>502</v>
      </c>
      <c r="K114" s="2" t="s">
        <v>503</v>
      </c>
      <c r="U114" s="8" t="str">
        <f t="shared" si="1"/>
        <v>CALL InsertOrUpdateProducto('120','Telgopor plancha 2 cm - 10 x 42 x 100 cm (5 unidades)','Telgopor plancha 2 cm - 10 x 42 x 100 cm','32','4','0','','0','','https://img.quodom.com.ar/producto/120.png','Z120','','','','');</v>
      </c>
    </row>
    <row r="115">
      <c r="A115" s="2">
        <v>121.0</v>
      </c>
      <c r="B115" s="2" t="s">
        <v>504</v>
      </c>
      <c r="C115" s="2" t="s">
        <v>505</v>
      </c>
      <c r="D115" s="2">
        <v>32.0</v>
      </c>
      <c r="E115" s="2">
        <v>4.0</v>
      </c>
      <c r="F115" s="2">
        <v>0.0</v>
      </c>
      <c r="H115" s="2">
        <v>0.0</v>
      </c>
      <c r="J115" s="3" t="s">
        <v>506</v>
      </c>
      <c r="K115" s="2" t="s">
        <v>507</v>
      </c>
      <c r="U115" s="8" t="str">
        <f t="shared" si="1"/>
        <v>CALL InsertOrUpdateProducto('121','Telgopor plancha 2 cm - 12 x 40 x 100 cm (5 unidades)','Telgopor plancha 2 cm - 12 x 40 x 100 cm','32','4','0','','0','','https://img.quodom.com.ar/producto/121.png','Z121','','','','');</v>
      </c>
    </row>
    <row r="116">
      <c r="A116" s="2">
        <v>122.0</v>
      </c>
      <c r="B116" s="2" t="s">
        <v>508</v>
      </c>
      <c r="C116" s="2" t="s">
        <v>508</v>
      </c>
      <c r="D116" s="2">
        <v>33.0</v>
      </c>
      <c r="E116" s="2">
        <v>4.0</v>
      </c>
      <c r="F116" s="2">
        <v>0.0</v>
      </c>
      <c r="H116" s="2">
        <v>0.0</v>
      </c>
      <c r="J116" s="3" t="s">
        <v>509</v>
      </c>
      <c r="K116" s="2" t="s">
        <v>510</v>
      </c>
      <c r="L116" s="2" t="s">
        <v>263</v>
      </c>
      <c r="U116" s="8" t="str">
        <f t="shared" si="1"/>
        <v>CALL InsertOrUpdateProducto('122','Clavo por 1 kg','Clavo por 1 kg','33','4','0','','0','','https://img.quodom.com.ar/producto/122.png','Z122','MEDIDAS','','','');</v>
      </c>
    </row>
    <row r="117">
      <c r="A117" s="2">
        <v>123.0</v>
      </c>
      <c r="B117" s="2" t="s">
        <v>511</v>
      </c>
      <c r="C117" s="2" t="s">
        <v>511</v>
      </c>
      <c r="D117" s="2">
        <v>33.0</v>
      </c>
      <c r="E117" s="2">
        <v>4.0</v>
      </c>
      <c r="F117" s="2">
        <v>0.0</v>
      </c>
      <c r="H117" s="2">
        <v>0.0</v>
      </c>
      <c r="J117" s="3" t="s">
        <v>512</v>
      </c>
      <c r="K117" s="2" t="s">
        <v>513</v>
      </c>
      <c r="L117" s="2" t="s">
        <v>263</v>
      </c>
      <c r="U117" s="8" t="str">
        <f t="shared" si="1"/>
        <v>CALL InsertOrUpdateProducto('123','Hierro liso en rollo por 1 kg','Hierro liso en rollo por 1 kg','33','4','0','','0','','https://img.quodom.com.ar/producto/123.png','Z123','MEDIDAS','','','');</v>
      </c>
    </row>
    <row r="118">
      <c r="A118" s="2">
        <v>124.0</v>
      </c>
      <c r="B118" s="2" t="s">
        <v>514</v>
      </c>
      <c r="C118" s="2" t="s">
        <v>515</v>
      </c>
      <c r="D118" s="2">
        <v>33.0</v>
      </c>
      <c r="E118" s="2">
        <v>4.0</v>
      </c>
      <c r="F118" s="2">
        <v>0.0</v>
      </c>
      <c r="H118" s="2">
        <v>0.0</v>
      </c>
      <c r="J118" s="3" t="s">
        <v>516</v>
      </c>
      <c r="K118" s="2" t="s">
        <v>517</v>
      </c>
      <c r="U118" s="8" t="str">
        <f t="shared" si="1"/>
        <v>CALL InsertOrUpdateProducto('124','Alambre de fardo N°16 por 1 kg','Alambre de fardo N°16 por kg','33','4','0','','0','','https://img.quodom.com.ar/producto/124.png','Z124','','','','');</v>
      </c>
    </row>
    <row r="119">
      <c r="A119" s="2">
        <v>125.0</v>
      </c>
      <c r="B119" s="2" t="s">
        <v>518</v>
      </c>
      <c r="C119" s="2" t="s">
        <v>519</v>
      </c>
      <c r="D119" s="2">
        <v>33.0</v>
      </c>
      <c r="E119" s="2">
        <v>4.0</v>
      </c>
      <c r="F119" s="2">
        <v>0.0</v>
      </c>
      <c r="H119" s="2">
        <v>0.0</v>
      </c>
      <c r="J119" s="3" t="s">
        <v>520</v>
      </c>
      <c r="K119" s="2" t="s">
        <v>521</v>
      </c>
      <c r="U119" s="8" t="str">
        <f t="shared" si="1"/>
        <v>CALL InsertOrUpdateProducto('125','Guardacantos yesero 2 mts (4 unidades)','Guardacantos yesero 2 mts','33','4','0','','0','','https://img.quodom.com.ar/producto/125.png','Z125','','','','');</v>
      </c>
    </row>
    <row r="120">
      <c r="A120" s="2">
        <v>126.0</v>
      </c>
      <c r="B120" s="2" t="s">
        <v>522</v>
      </c>
      <c r="C120" s="2" t="s">
        <v>522</v>
      </c>
      <c r="D120" s="2">
        <v>33.0</v>
      </c>
      <c r="E120" s="2">
        <v>4.0</v>
      </c>
      <c r="F120" s="2">
        <v>0.0</v>
      </c>
      <c r="H120" s="2">
        <v>0.0</v>
      </c>
      <c r="J120" s="3" t="s">
        <v>523</v>
      </c>
      <c r="K120" s="2" t="s">
        <v>524</v>
      </c>
      <c r="U120" s="8" t="str">
        <f t="shared" si="1"/>
        <v>CALL InsertOrUpdateProducto('126','Metal desplegado reforzado 0,75 x 2 mts','Metal desplegado reforzado 0,75 x 2 mts','33','4','0','','0','','https://img.quodom.com.ar/producto/126.png','Z126','','','','');</v>
      </c>
    </row>
    <row r="121">
      <c r="A121" s="2">
        <v>127.0</v>
      </c>
      <c r="B121" s="2" t="s">
        <v>525</v>
      </c>
      <c r="C121" s="2" t="s">
        <v>525</v>
      </c>
      <c r="D121" s="2">
        <v>33.0</v>
      </c>
      <c r="E121" s="2">
        <v>4.0</v>
      </c>
      <c r="F121" s="2">
        <v>0.0</v>
      </c>
      <c r="H121" s="2">
        <v>0.0</v>
      </c>
      <c r="J121" s="3" t="s">
        <v>526</v>
      </c>
      <c r="K121" s="2" t="s">
        <v>527</v>
      </c>
      <c r="L121" s="2" t="s">
        <v>263</v>
      </c>
      <c r="U121" s="8" t="str">
        <f t="shared" si="1"/>
        <v>CALL InsertOrUpdateProducto('127','Hierro ADN 12 mts','Hierro ADN 12 mts','33','4','0','','0','','https://img.quodom.com.ar/producto/127.png','Z127','MEDIDAS','','','');</v>
      </c>
    </row>
    <row r="122">
      <c r="A122" s="2">
        <v>128.0</v>
      </c>
      <c r="B122" s="2" t="s">
        <v>528</v>
      </c>
      <c r="C122" s="2" t="s">
        <v>528</v>
      </c>
      <c r="D122" s="2">
        <v>33.0</v>
      </c>
      <c r="E122" s="2">
        <v>4.0</v>
      </c>
      <c r="F122" s="2">
        <v>0.0</v>
      </c>
      <c r="H122" s="2">
        <v>0.0</v>
      </c>
      <c r="J122" s="3" t="s">
        <v>529</v>
      </c>
      <c r="K122" s="2" t="s">
        <v>530</v>
      </c>
      <c r="L122" s="2" t="s">
        <v>263</v>
      </c>
      <c r="U122" s="8" t="str">
        <f t="shared" si="1"/>
        <v>CALL InsertOrUpdateProducto('128','Columna armada 8 mm por 4 mts','Columna armada 8 mm por 4 mts','33','4','0','','0','','https://img.quodom.com.ar/producto/128.png','Z128','MEDIDAS','','','');</v>
      </c>
    </row>
    <row r="123">
      <c r="A123" s="2">
        <v>129.0</v>
      </c>
      <c r="B123" s="2" t="s">
        <v>531</v>
      </c>
      <c r="C123" s="2" t="s">
        <v>531</v>
      </c>
      <c r="D123" s="2">
        <v>33.0</v>
      </c>
      <c r="E123" s="2">
        <v>4.0</v>
      </c>
      <c r="F123" s="2">
        <v>0.0</v>
      </c>
      <c r="H123" s="2">
        <v>0.0</v>
      </c>
      <c r="J123" s="3" t="s">
        <v>532</v>
      </c>
      <c r="K123" s="2" t="s">
        <v>533</v>
      </c>
      <c r="L123" s="2" t="s">
        <v>263</v>
      </c>
      <c r="U123" s="8" t="str">
        <f t="shared" si="1"/>
        <v>CALL InsertOrUpdateProducto('129','Columna armada 10 mm por 4 mts','Columna armada 10 mm por 4 mts','33','4','0','','0','','https://img.quodom.com.ar/producto/129.png','Z129','MEDIDAS','','','');</v>
      </c>
    </row>
    <row r="124">
      <c r="A124" s="2">
        <v>130.0</v>
      </c>
      <c r="B124" s="2" t="s">
        <v>534</v>
      </c>
      <c r="C124" s="2" t="s">
        <v>534</v>
      </c>
      <c r="D124" s="2">
        <v>33.0</v>
      </c>
      <c r="E124" s="2">
        <v>4.0</v>
      </c>
      <c r="F124" s="2">
        <v>0.0</v>
      </c>
      <c r="H124" s="2">
        <v>0.0</v>
      </c>
      <c r="J124" s="3" t="s">
        <v>535</v>
      </c>
      <c r="K124" s="2" t="s">
        <v>536</v>
      </c>
      <c r="L124" s="2" t="s">
        <v>263</v>
      </c>
      <c r="U124" s="8" t="str">
        <f t="shared" si="1"/>
        <v>CALL InsertOrUpdateProducto('130','Malla de hierro 5 x 2 mts','Malla de hierro 5 x 2 mts','33','4','0','','0','','https://img.quodom.com.ar/producto/130.png','Z130','MEDIDAS','','','');</v>
      </c>
    </row>
    <row r="125">
      <c r="A125" s="2">
        <v>131.0</v>
      </c>
      <c r="B125" s="2" t="s">
        <v>537</v>
      </c>
      <c r="C125" s="2" t="s">
        <v>537</v>
      </c>
      <c r="D125" s="2">
        <v>34.0</v>
      </c>
      <c r="E125" s="2">
        <v>4.0</v>
      </c>
      <c r="F125" s="2">
        <v>0.0</v>
      </c>
      <c r="H125" s="2">
        <v>0.0</v>
      </c>
      <c r="J125" s="3" t="s">
        <v>538</v>
      </c>
      <c r="K125" s="2" t="s">
        <v>539</v>
      </c>
      <c r="L125" s="2" t="s">
        <v>540</v>
      </c>
      <c r="U125" s="8" t="str">
        <f t="shared" si="1"/>
        <v>CALL InsertOrUpdateProducto('131','Pintura asfáltica','Pintura asfáltica','34','4','0','','0','','https://img.quodom.com.ar/producto/131.png','Z131','LITROS','','','');</v>
      </c>
    </row>
    <row r="126">
      <c r="A126" s="2">
        <v>132.0</v>
      </c>
      <c r="B126" s="2" t="s">
        <v>541</v>
      </c>
      <c r="C126" s="2" t="s">
        <v>541</v>
      </c>
      <c r="D126" s="2">
        <v>34.0</v>
      </c>
      <c r="E126" s="2">
        <v>4.0</v>
      </c>
      <c r="F126" s="2">
        <v>0.0</v>
      </c>
      <c r="H126" s="2">
        <v>0.0</v>
      </c>
      <c r="J126" s="3" t="s">
        <v>542</v>
      </c>
      <c r="K126" s="2" t="s">
        <v>543</v>
      </c>
      <c r="U126" s="8" t="str">
        <f t="shared" si="1"/>
        <v>CALL InsertOrUpdateProducto('132','Emulsión asfáltica 18 lts','Emulsión asfáltica 18 lts','34','4','0','','0','','https://img.quodom.com.ar/producto/132.png','Z132','','','','');</v>
      </c>
    </row>
    <row r="127">
      <c r="A127" s="2">
        <v>133.0</v>
      </c>
      <c r="B127" s="2" t="s">
        <v>544</v>
      </c>
      <c r="C127" s="2" t="s">
        <v>544</v>
      </c>
      <c r="D127" s="2">
        <v>34.0</v>
      </c>
      <c r="E127" s="2">
        <v>4.0</v>
      </c>
      <c r="F127" s="2">
        <v>0.0</v>
      </c>
      <c r="H127" s="2">
        <v>0.0</v>
      </c>
      <c r="J127" s="3" t="s">
        <v>545</v>
      </c>
      <c r="K127" s="2" t="s">
        <v>546</v>
      </c>
      <c r="U127" s="8" t="str">
        <f t="shared" si="1"/>
        <v>CALL InsertOrUpdateProducto('133','Brea sólida 20 kg','Brea sólida 20 kg','34','4','0','','0','','https://img.quodom.com.ar/producto/133.png','Z133','','','','');</v>
      </c>
    </row>
    <row r="128">
      <c r="A128" s="2">
        <v>134.0</v>
      </c>
      <c r="B128" s="2" t="s">
        <v>547</v>
      </c>
      <c r="C128" s="2" t="s">
        <v>547</v>
      </c>
      <c r="D128" s="2">
        <v>34.0</v>
      </c>
      <c r="E128" s="2">
        <v>4.0</v>
      </c>
      <c r="F128" s="2">
        <v>0.0</v>
      </c>
      <c r="H128" s="2">
        <v>0.0</v>
      </c>
      <c r="J128" s="3" t="s">
        <v>548</v>
      </c>
      <c r="K128" s="2" t="s">
        <v>549</v>
      </c>
      <c r="U128" s="8" t="str">
        <f t="shared" si="1"/>
        <v>CALL InsertOrUpdateProducto('134','Fieltro asfáltico 40 mts','Fieltro asfáltico 40 mts','34','4','0','','0','','https://img.quodom.com.ar/producto/134.png','Z134','','','','');</v>
      </c>
    </row>
    <row r="129">
      <c r="A129" s="2">
        <v>135.0</v>
      </c>
      <c r="B129" s="2" t="s">
        <v>550</v>
      </c>
      <c r="C129" s="2" t="s">
        <v>550</v>
      </c>
      <c r="D129" s="2">
        <v>34.0</v>
      </c>
      <c r="E129" s="2">
        <v>4.0</v>
      </c>
      <c r="F129" s="2">
        <v>0.0</v>
      </c>
      <c r="H129" s="2">
        <v>0.0</v>
      </c>
      <c r="J129" s="3" t="s">
        <v>551</v>
      </c>
      <c r="K129" s="2" t="s">
        <v>552</v>
      </c>
      <c r="U129" s="8" t="str">
        <f t="shared" si="1"/>
        <v>CALL InsertOrUpdateProducto('135','Membrana asfáltica con aluminio 10 mts','Membrana asfáltica con aluminio 10 mts','34','4','0','','0','','https://img.quodom.com.ar/producto/135.png','Z135','','','','');</v>
      </c>
    </row>
    <row r="130">
      <c r="A130" s="2">
        <v>136.0</v>
      </c>
      <c r="B130" s="2" t="s">
        <v>553</v>
      </c>
      <c r="C130" s="2" t="s">
        <v>553</v>
      </c>
      <c r="D130" s="2">
        <v>34.0</v>
      </c>
      <c r="E130" s="2">
        <v>4.0</v>
      </c>
      <c r="F130" s="2">
        <v>0.0</v>
      </c>
      <c r="H130" s="2">
        <v>0.0</v>
      </c>
      <c r="J130" s="3" t="s">
        <v>554</v>
      </c>
      <c r="K130" s="2" t="s">
        <v>555</v>
      </c>
      <c r="U130" s="8" t="str">
        <f t="shared" si="1"/>
        <v>CALL InsertOrUpdateProducto('136','Membrana asfáltica autoadhesiva 10 mts','Membrana asfáltica autoadhesiva 10 mts','34','4','0','','0','','https://img.quodom.com.ar/producto/136.png','Z136','','','','');</v>
      </c>
    </row>
    <row r="131">
      <c r="A131" s="2">
        <v>137.0</v>
      </c>
      <c r="B131" s="2" t="s">
        <v>556</v>
      </c>
      <c r="C131" s="2" t="s">
        <v>556</v>
      </c>
      <c r="D131" s="2">
        <v>35.0</v>
      </c>
      <c r="E131" s="2">
        <v>5.0</v>
      </c>
      <c r="F131" s="2">
        <v>0.0</v>
      </c>
      <c r="H131" s="2">
        <v>0.0</v>
      </c>
      <c r="J131" s="3" t="s">
        <v>557</v>
      </c>
      <c r="K131" s="2" t="s">
        <v>558</v>
      </c>
      <c r="L131" s="2" t="s">
        <v>540</v>
      </c>
      <c r="M131" s="2" t="s">
        <v>559</v>
      </c>
      <c r="U131" s="8" t="str">
        <f t="shared" si="1"/>
        <v>CALL InsertOrUpdateProducto('137','Latex Interior Blanco Mate','Latex Interior Blanco Mate','35','5','0','','0','','https://img.quodom.com.ar/producto/137.png','Z137','LITROS','MARCA','','');</v>
      </c>
    </row>
    <row r="132">
      <c r="A132" s="2">
        <v>138.0</v>
      </c>
      <c r="B132" s="2" t="s">
        <v>560</v>
      </c>
      <c r="C132" s="2" t="s">
        <v>560</v>
      </c>
      <c r="D132" s="2">
        <v>35.0</v>
      </c>
      <c r="E132" s="2">
        <v>5.0</v>
      </c>
      <c r="F132" s="2">
        <v>0.0</v>
      </c>
      <c r="H132" s="2">
        <v>0.0</v>
      </c>
      <c r="J132" s="3" t="s">
        <v>561</v>
      </c>
      <c r="K132" s="2" t="s">
        <v>562</v>
      </c>
      <c r="L132" s="2" t="s">
        <v>540</v>
      </c>
      <c r="M132" s="2" t="s">
        <v>559</v>
      </c>
      <c r="U132" s="8" t="str">
        <f t="shared" si="1"/>
        <v>CALL InsertOrUpdateProducto('138','Latex Interior Blanco Satinado','Latex Interior Blanco Satinado','35','5','0','','0','','https://img.quodom.com.ar/producto/138.png','Z138','LITROS','MARCA','','');</v>
      </c>
    </row>
    <row r="133">
      <c r="A133" s="2">
        <v>139.0</v>
      </c>
      <c r="B133" s="2" t="s">
        <v>563</v>
      </c>
      <c r="C133" s="2" t="s">
        <v>563</v>
      </c>
      <c r="D133" s="2">
        <v>35.0</v>
      </c>
      <c r="E133" s="2">
        <v>5.0</v>
      </c>
      <c r="F133" s="2">
        <v>0.0</v>
      </c>
      <c r="H133" s="2">
        <v>0.0</v>
      </c>
      <c r="J133" s="3" t="s">
        <v>564</v>
      </c>
      <c r="K133" s="2" t="s">
        <v>565</v>
      </c>
      <c r="L133" s="2" t="s">
        <v>540</v>
      </c>
      <c r="M133" s="2" t="s">
        <v>559</v>
      </c>
      <c r="U133" s="8" t="str">
        <f t="shared" si="1"/>
        <v>CALL InsertOrUpdateProducto('139','Latex Exterior Blanco Mate','Latex Exterior Blanco Mate','35','5','0','','0','','https://img.quodom.com.ar/producto/139.png','Z139','LITROS','MARCA','','');</v>
      </c>
    </row>
    <row r="134">
      <c r="A134" s="2">
        <v>140.0</v>
      </c>
      <c r="B134" s="2" t="s">
        <v>566</v>
      </c>
      <c r="C134" s="2" t="s">
        <v>566</v>
      </c>
      <c r="D134" s="2">
        <v>35.0</v>
      </c>
      <c r="E134" s="2">
        <v>5.0</v>
      </c>
      <c r="F134" s="2">
        <v>0.0</v>
      </c>
      <c r="H134" s="2">
        <v>0.0</v>
      </c>
      <c r="J134" s="3" t="s">
        <v>567</v>
      </c>
      <c r="K134" s="2" t="s">
        <v>568</v>
      </c>
      <c r="L134" s="2" t="s">
        <v>540</v>
      </c>
      <c r="M134" s="2" t="s">
        <v>559</v>
      </c>
      <c r="U134" s="8" t="str">
        <f t="shared" si="1"/>
        <v>CALL InsertOrUpdateProducto('140','Cielorrasos Blanco Mate','Cielorrasos Blanco Mate','35','5','0','','0','','https://img.quodom.com.ar/producto/140.png','Z140','LITROS','MARCA','','');</v>
      </c>
    </row>
    <row r="135">
      <c r="A135" s="2">
        <v>141.0</v>
      </c>
      <c r="B135" s="2" t="s">
        <v>569</v>
      </c>
      <c r="C135" s="2" t="s">
        <v>569</v>
      </c>
      <c r="D135" s="2">
        <v>35.0</v>
      </c>
      <c r="E135" s="2">
        <v>5.0</v>
      </c>
      <c r="F135" s="2">
        <v>0.0</v>
      </c>
      <c r="H135" s="2">
        <v>0.0</v>
      </c>
      <c r="J135" s="3" t="s">
        <v>570</v>
      </c>
      <c r="K135" s="2" t="s">
        <v>571</v>
      </c>
      <c r="L135" s="2" t="s">
        <v>540</v>
      </c>
      <c r="M135" s="2" t="s">
        <v>559</v>
      </c>
      <c r="U135" s="8" t="str">
        <f t="shared" si="1"/>
        <v>CALL InsertOrUpdateProducto('141','Impermeabilizante Fibrado Blanco','Impermeabilizante Fibrado Blanco','35','5','0','','0','','https://img.quodom.com.ar/producto/141.png','Z141','LITROS','MARCA','','');</v>
      </c>
    </row>
    <row r="136">
      <c r="A136" s="2">
        <v>142.0</v>
      </c>
      <c r="B136" s="2" t="s">
        <v>572</v>
      </c>
      <c r="C136" s="2" t="s">
        <v>572</v>
      </c>
      <c r="D136" s="2">
        <v>35.0</v>
      </c>
      <c r="E136" s="2">
        <v>5.0</v>
      </c>
      <c r="F136" s="2">
        <v>0.0</v>
      </c>
      <c r="H136" s="2">
        <v>0.0</v>
      </c>
      <c r="J136" s="3" t="s">
        <v>573</v>
      </c>
      <c r="K136" s="2" t="s">
        <v>574</v>
      </c>
      <c r="L136" s="2" t="s">
        <v>540</v>
      </c>
      <c r="M136" s="2" t="s">
        <v>559</v>
      </c>
      <c r="U136" s="8" t="str">
        <f t="shared" si="1"/>
        <v>CALL InsertOrUpdateProducto('142','Impermeabilizante Frente Blanco','Impermeabilizante Frente Blanco','35','5','0','','0','','https://img.quodom.com.ar/producto/142.png','Z142','LITROS','MARCA','','');</v>
      </c>
    </row>
    <row r="137">
      <c r="A137" s="2">
        <v>143.0</v>
      </c>
      <c r="B137" s="2" t="s">
        <v>575</v>
      </c>
      <c r="C137" s="2" t="s">
        <v>575</v>
      </c>
      <c r="D137" s="2">
        <v>35.0</v>
      </c>
      <c r="E137" s="2">
        <v>5.0</v>
      </c>
      <c r="F137" s="2">
        <v>0.0</v>
      </c>
      <c r="H137" s="2">
        <v>0.0</v>
      </c>
      <c r="J137" s="3" t="s">
        <v>576</v>
      </c>
      <c r="K137" s="2" t="s">
        <v>577</v>
      </c>
      <c r="L137" s="2" t="s">
        <v>540</v>
      </c>
      <c r="M137" s="2" t="s">
        <v>559</v>
      </c>
      <c r="U137" s="8" t="str">
        <f t="shared" si="1"/>
        <v>CALL InsertOrUpdateProducto('143','Impermeabilizante Techo Blanco','Impermeabilizante Techo Blanco','35','5','0','','0','','https://img.quodom.com.ar/producto/143.png','Z143','LITROS','MARCA','','');</v>
      </c>
    </row>
    <row r="138">
      <c r="A138" s="2">
        <v>144.0</v>
      </c>
      <c r="B138" s="2" t="s">
        <v>578</v>
      </c>
      <c r="C138" s="2" t="s">
        <v>578</v>
      </c>
      <c r="D138" s="2">
        <v>36.0</v>
      </c>
      <c r="E138" s="2">
        <v>5.0</v>
      </c>
      <c r="F138" s="2">
        <v>0.0</v>
      </c>
      <c r="H138" s="2">
        <v>0.0</v>
      </c>
      <c r="J138" s="3" t="s">
        <v>579</v>
      </c>
      <c r="K138" s="2" t="s">
        <v>580</v>
      </c>
      <c r="L138" s="2" t="s">
        <v>581</v>
      </c>
      <c r="M138" s="2" t="s">
        <v>540</v>
      </c>
      <c r="U138" s="8" t="str">
        <f t="shared" si="1"/>
        <v>CALL InsertOrUpdateProducto('144','Esmalte al agua Brillante','Esmalte al agua Brillante','36','5','0','','0','','https://img.quodom.com.ar/producto/144.png','Z144','COLOR','LITROS','','');</v>
      </c>
    </row>
    <row r="139">
      <c r="A139" s="2">
        <v>145.0</v>
      </c>
      <c r="B139" s="2" t="s">
        <v>582</v>
      </c>
      <c r="C139" s="2" t="s">
        <v>582</v>
      </c>
      <c r="D139" s="2">
        <v>36.0</v>
      </c>
      <c r="E139" s="2">
        <v>5.0</v>
      </c>
      <c r="F139" s="2">
        <v>0.0</v>
      </c>
      <c r="H139" s="2">
        <v>0.0</v>
      </c>
      <c r="J139" s="3" t="s">
        <v>583</v>
      </c>
      <c r="K139" s="2" t="s">
        <v>584</v>
      </c>
      <c r="L139" s="2" t="s">
        <v>581</v>
      </c>
      <c r="M139" s="2" t="s">
        <v>540</v>
      </c>
      <c r="U139" s="8" t="str">
        <f t="shared" si="1"/>
        <v>CALL InsertOrUpdateProducto('145','Convertidor Brillante','Convertidor Brillante','36','5','0','','0','','https://img.quodom.com.ar/producto/145.png','Z145','COLOR','LITROS','','');</v>
      </c>
    </row>
    <row r="140">
      <c r="A140" s="2">
        <v>146.0</v>
      </c>
      <c r="B140" s="2" t="s">
        <v>585</v>
      </c>
      <c r="C140" s="2" t="s">
        <v>585</v>
      </c>
      <c r="D140" s="2">
        <v>36.0</v>
      </c>
      <c r="E140" s="2">
        <v>5.0</v>
      </c>
      <c r="F140" s="2">
        <v>0.0</v>
      </c>
      <c r="H140" s="2">
        <v>0.0</v>
      </c>
      <c r="J140" s="3" t="s">
        <v>586</v>
      </c>
      <c r="K140" s="2" t="s">
        <v>587</v>
      </c>
      <c r="L140" s="2" t="s">
        <v>581</v>
      </c>
      <c r="U140" s="8" t="str">
        <f t="shared" si="1"/>
        <v>CALL InsertOrUpdateProducto('146','Epoxi sintetico Brillante 4 litros','Epoxi sintetico Brillante 4 litros','36','5','0','','0','','https://img.quodom.com.ar/producto/146.png','Z146','COLOR','','','');</v>
      </c>
    </row>
    <row r="141">
      <c r="A141" s="2">
        <v>147.0</v>
      </c>
      <c r="B141" s="2" t="s">
        <v>588</v>
      </c>
      <c r="C141" s="2" t="s">
        <v>588</v>
      </c>
      <c r="D141" s="2">
        <v>36.0</v>
      </c>
      <c r="E141" s="2">
        <v>5.0</v>
      </c>
      <c r="F141" s="2">
        <v>0.0</v>
      </c>
      <c r="H141" s="2">
        <v>0.0</v>
      </c>
      <c r="J141" s="3" t="s">
        <v>589</v>
      </c>
      <c r="K141" s="2" t="s">
        <v>590</v>
      </c>
      <c r="L141" s="2" t="s">
        <v>581</v>
      </c>
      <c r="M141" s="2" t="s">
        <v>540</v>
      </c>
      <c r="U141" s="8" t="str">
        <f t="shared" si="1"/>
        <v>CALL InsertOrUpdateProducto('147','Epoxi al agua Satinado','Epoxi al agua Satinado','36','5','0','','0','','https://img.quodom.com.ar/producto/147.png','Z147','COLOR','LITROS','','');</v>
      </c>
    </row>
    <row r="142">
      <c r="A142" s="2">
        <v>148.0</v>
      </c>
      <c r="B142" s="2" t="s">
        <v>591</v>
      </c>
      <c r="C142" s="2" t="s">
        <v>591</v>
      </c>
      <c r="D142" s="2">
        <v>36.0</v>
      </c>
      <c r="E142" s="2">
        <v>5.0</v>
      </c>
      <c r="F142" s="2">
        <v>0.0</v>
      </c>
      <c r="H142" s="2">
        <v>0.0</v>
      </c>
      <c r="J142" s="3" t="s">
        <v>592</v>
      </c>
      <c r="K142" s="2" t="s">
        <v>593</v>
      </c>
      <c r="L142" s="2" t="s">
        <v>540</v>
      </c>
      <c r="U142" s="8" t="str">
        <f t="shared" si="1"/>
        <v>CALL InsertOrUpdateProducto('148','Azulejos Satinado Blanco','Azulejos Satinado Blanco','36','5','0','','0','','https://img.quodom.com.ar/producto/148.png','Z148','LITROS','','','');</v>
      </c>
    </row>
    <row r="143">
      <c r="A143" s="2">
        <v>149.0</v>
      </c>
      <c r="B143" s="2" t="s">
        <v>594</v>
      </c>
      <c r="C143" s="2" t="s">
        <v>594</v>
      </c>
      <c r="D143" s="2">
        <v>36.0</v>
      </c>
      <c r="E143" s="2">
        <v>5.0</v>
      </c>
      <c r="F143" s="2">
        <v>0.0</v>
      </c>
      <c r="H143" s="2">
        <v>0.0</v>
      </c>
      <c r="J143" s="3" t="s">
        <v>595</v>
      </c>
      <c r="K143" s="2" t="s">
        <v>596</v>
      </c>
      <c r="L143" s="2" t="s">
        <v>540</v>
      </c>
      <c r="U143" s="8" t="str">
        <f t="shared" si="1"/>
        <v>CALL InsertOrUpdateProducto('149','Melamina y MDF Satinado Blanco','Melamina y MDF Satinado Blanco','36','5','0','','0','','https://img.quodom.com.ar/producto/149.png','Z149','LITROS','','','');</v>
      </c>
    </row>
    <row r="144">
      <c r="A144" s="2">
        <v>150.0</v>
      </c>
      <c r="B144" s="2" t="s">
        <v>51</v>
      </c>
      <c r="C144" s="2" t="s">
        <v>51</v>
      </c>
      <c r="D144" s="2">
        <v>36.0</v>
      </c>
      <c r="E144" s="2">
        <v>5.0</v>
      </c>
      <c r="F144" s="2">
        <v>0.0</v>
      </c>
      <c r="H144" s="2">
        <v>0.0</v>
      </c>
      <c r="J144" s="3" t="s">
        <v>597</v>
      </c>
      <c r="K144" s="2" t="s">
        <v>598</v>
      </c>
      <c r="L144" s="2" t="s">
        <v>581</v>
      </c>
      <c r="M144" s="2" t="s">
        <v>540</v>
      </c>
      <c r="U144" s="8" t="str">
        <f t="shared" si="1"/>
        <v>CALL InsertOrUpdateProducto('150','Pisos','Pisos','36','5','0','','0','','https://img.quodom.com.ar/producto/150.png','Z150','COLOR','LITROS','','');</v>
      </c>
    </row>
    <row r="145">
      <c r="A145" s="2">
        <v>151.0</v>
      </c>
      <c r="B145" s="2" t="s">
        <v>599</v>
      </c>
      <c r="C145" s="2" t="s">
        <v>599</v>
      </c>
      <c r="D145" s="2">
        <v>36.0</v>
      </c>
      <c r="E145" s="2">
        <v>5.0</v>
      </c>
      <c r="F145" s="2">
        <v>0.0</v>
      </c>
      <c r="H145" s="2">
        <v>0.0</v>
      </c>
      <c r="J145" s="3" t="s">
        <v>600</v>
      </c>
      <c r="K145" s="2" t="s">
        <v>601</v>
      </c>
      <c r="L145" s="2" t="s">
        <v>581</v>
      </c>
      <c r="M145" s="2" t="s">
        <v>540</v>
      </c>
      <c r="U145" s="8" t="str">
        <f t="shared" si="1"/>
        <v>CALL InsertOrUpdateProducto('151','Martillado','Martillado','36','5','0','','0','','https://img.quodom.com.ar/producto/151.png','Z151','COLOR','LITROS','','');</v>
      </c>
    </row>
    <row r="146">
      <c r="A146" s="2">
        <v>152.0</v>
      </c>
      <c r="B146" s="2" t="s">
        <v>602</v>
      </c>
      <c r="C146" s="2" t="s">
        <v>602</v>
      </c>
      <c r="D146" s="2">
        <v>36.0</v>
      </c>
      <c r="E146" s="2">
        <v>5.0</v>
      </c>
      <c r="F146" s="2">
        <v>0.0</v>
      </c>
      <c r="H146" s="2">
        <v>0.0</v>
      </c>
      <c r="J146" s="3" t="s">
        <v>603</v>
      </c>
      <c r="K146" s="2" t="s">
        <v>604</v>
      </c>
      <c r="L146" s="2" t="s">
        <v>581</v>
      </c>
      <c r="M146" s="2" t="s">
        <v>540</v>
      </c>
      <c r="U146" s="8" t="str">
        <f t="shared" si="1"/>
        <v>CALL InsertOrUpdateProducto('152','Esmalte para soplete','Esmalte para soplete','36','5','0','','0','','https://img.quodom.com.ar/producto/152.png','Z152','COLOR','LITROS','','');</v>
      </c>
    </row>
    <row r="147">
      <c r="A147" s="2">
        <v>153.0</v>
      </c>
      <c r="B147" s="2" t="s">
        <v>605</v>
      </c>
      <c r="C147" s="2" t="s">
        <v>605</v>
      </c>
      <c r="D147" s="2">
        <v>36.0</v>
      </c>
      <c r="E147" s="2">
        <v>5.0</v>
      </c>
      <c r="F147" s="2">
        <v>0.0</v>
      </c>
      <c r="H147" s="2">
        <v>0.0</v>
      </c>
      <c r="J147" s="3" t="s">
        <v>606</v>
      </c>
      <c r="K147" s="2" t="s">
        <v>607</v>
      </c>
      <c r="L147" s="2" t="s">
        <v>581</v>
      </c>
      <c r="M147" s="2" t="s">
        <v>540</v>
      </c>
      <c r="U147" s="8" t="str">
        <f t="shared" si="1"/>
        <v>CALL InsertOrUpdateProducto('153','Esmalte Poliuretánico brillante','Esmalte Poliuretánico brillante','36','5','0','','0','','https://img.quodom.com.ar/producto/153.png','Z153','COLOR','LITROS','','');</v>
      </c>
    </row>
    <row r="148">
      <c r="A148" s="2">
        <v>154.0</v>
      </c>
      <c r="B148" s="2" t="s">
        <v>608</v>
      </c>
      <c r="C148" s="2" t="s">
        <v>608</v>
      </c>
      <c r="D148" s="2">
        <v>36.0</v>
      </c>
      <c r="E148" s="2">
        <v>5.0</v>
      </c>
      <c r="F148" s="2">
        <v>0.0</v>
      </c>
      <c r="H148" s="2">
        <v>0.0</v>
      </c>
      <c r="J148" s="3" t="s">
        <v>609</v>
      </c>
      <c r="K148" s="2" t="s">
        <v>610</v>
      </c>
      <c r="L148" s="2" t="s">
        <v>540</v>
      </c>
      <c r="U148" s="8" t="str">
        <f t="shared" si="1"/>
        <v>CALL InsertOrUpdateProducto('154','Fondo para galvanizado','Fondo para galvanizado','36','5','0','','0','','https://img.quodom.com.ar/producto/154.png','Z154','LITROS','','','');</v>
      </c>
    </row>
    <row r="149">
      <c r="A149" s="9">
        <v>155.0</v>
      </c>
      <c r="B149" s="9" t="s">
        <v>611</v>
      </c>
      <c r="C149" s="9" t="s">
        <v>611</v>
      </c>
      <c r="D149" s="9">
        <v>37.0</v>
      </c>
      <c r="E149" s="9">
        <v>5.0</v>
      </c>
      <c r="F149" s="9">
        <v>0.0</v>
      </c>
      <c r="G149" s="10"/>
      <c r="H149" s="9">
        <v>0.0</v>
      </c>
      <c r="I149" s="10"/>
      <c r="J149" s="11" t="s">
        <v>612</v>
      </c>
      <c r="K149" s="9" t="s">
        <v>613</v>
      </c>
      <c r="L149" s="9" t="s">
        <v>581</v>
      </c>
      <c r="M149" s="10"/>
      <c r="N149" s="10"/>
      <c r="O149" s="10"/>
      <c r="P149" s="10"/>
      <c r="Q149" s="10"/>
      <c r="R149" s="10"/>
      <c r="S149" s="10"/>
      <c r="T149" s="10"/>
      <c r="U149" s="12" t="str">
        <f t="shared" si="1"/>
        <v>CALL InsertOrUpdateProducto('155','Masilla para madera 200 gr','Masilla para madera 200 gr','37','5','0','','0','','https://img.quodom.com.ar/producto/155.png','Z155','COLOR','','','');</v>
      </c>
    </row>
    <row r="150">
      <c r="A150" s="2">
        <v>156.0</v>
      </c>
      <c r="B150" s="2" t="s">
        <v>614</v>
      </c>
      <c r="C150" s="2" t="s">
        <v>614</v>
      </c>
      <c r="D150" s="2">
        <v>37.0</v>
      </c>
      <c r="E150" s="2">
        <v>5.0</v>
      </c>
      <c r="F150" s="2">
        <v>0.0</v>
      </c>
      <c r="H150" s="2">
        <v>0.0</v>
      </c>
      <c r="J150" s="3" t="s">
        <v>615</v>
      </c>
      <c r="K150" s="2" t="s">
        <v>616</v>
      </c>
      <c r="L150" s="2" t="s">
        <v>540</v>
      </c>
      <c r="M150" s="2" t="s">
        <v>617</v>
      </c>
      <c r="U150" s="8" t="str">
        <f t="shared" si="1"/>
        <v>CALL InsertOrUpdateProducto('156','Plastificante','Plastificante','37','5','0','','0','','https://img.quodom.com.ar/producto/156.png','Z156','LITROS','TERMINACION','','');</v>
      </c>
    </row>
    <row r="151">
      <c r="A151" s="2">
        <v>157.0</v>
      </c>
      <c r="B151" s="2" t="s">
        <v>618</v>
      </c>
      <c r="C151" s="2" t="s">
        <v>618</v>
      </c>
      <c r="D151" s="2">
        <v>37.0</v>
      </c>
      <c r="E151" s="2">
        <v>5.0</v>
      </c>
      <c r="F151" s="2">
        <v>0.0</v>
      </c>
      <c r="H151" s="2">
        <v>0.0</v>
      </c>
      <c r="J151" s="3" t="s">
        <v>619</v>
      </c>
      <c r="K151" s="2" t="s">
        <v>620</v>
      </c>
      <c r="L151" s="2" t="s">
        <v>581</v>
      </c>
      <c r="M151" s="2" t="s">
        <v>540</v>
      </c>
      <c r="U151" s="8" t="str">
        <f t="shared" si="1"/>
        <v>CALL InsertOrUpdateProducto('157','Impregnante','Impregnante','37','5','0','','0','','https://img.quodom.com.ar/producto/157.png','Z157','COLOR','LITROS','','');</v>
      </c>
    </row>
    <row r="152">
      <c r="A152" s="2">
        <v>158.0</v>
      </c>
      <c r="B152" s="2" t="s">
        <v>621</v>
      </c>
      <c r="C152" s="2" t="s">
        <v>621</v>
      </c>
      <c r="D152" s="2">
        <v>37.0</v>
      </c>
      <c r="E152" s="2">
        <v>5.0</v>
      </c>
      <c r="F152" s="2">
        <v>0.0</v>
      </c>
      <c r="H152" s="2">
        <v>0.0</v>
      </c>
      <c r="J152" s="3" t="s">
        <v>622</v>
      </c>
      <c r="K152" s="2" t="s">
        <v>623</v>
      </c>
      <c r="L152" s="2" t="s">
        <v>540</v>
      </c>
      <c r="M152" s="2" t="s">
        <v>617</v>
      </c>
      <c r="U152" s="8" t="str">
        <f t="shared" si="1"/>
        <v>CALL InsertOrUpdateProducto('158','Barniz interior','Barniz interior','37','5','0','','0','','https://img.quodom.com.ar/producto/158.png','Z158','LITROS','TERMINACION','','');</v>
      </c>
    </row>
    <row r="153">
      <c r="A153" s="2">
        <v>159.0</v>
      </c>
      <c r="B153" s="2" t="s">
        <v>624</v>
      </c>
      <c r="C153" s="2" t="s">
        <v>624</v>
      </c>
      <c r="D153" s="2">
        <v>37.0</v>
      </c>
      <c r="E153" s="2">
        <v>5.0</v>
      </c>
      <c r="F153" s="2">
        <v>0.0</v>
      </c>
      <c r="H153" s="2">
        <v>0.0</v>
      </c>
      <c r="J153" s="3" t="s">
        <v>625</v>
      </c>
      <c r="K153" s="2" t="s">
        <v>626</v>
      </c>
      <c r="L153" s="2" t="s">
        <v>540</v>
      </c>
      <c r="U153" s="8" t="str">
        <f t="shared" si="1"/>
        <v>CALL InsertOrUpdateProducto('159','Fondo para madera blanco','Fondo para madera blanco','37','5','0','','0','','https://img.quodom.com.ar/producto/159.png','Z159','LITROS','','','');</v>
      </c>
    </row>
    <row r="154">
      <c r="A154" s="2">
        <v>160.0</v>
      </c>
      <c r="B154" s="2" t="s">
        <v>627</v>
      </c>
      <c r="C154" s="2" t="s">
        <v>627</v>
      </c>
      <c r="D154" s="2">
        <v>37.0</v>
      </c>
      <c r="E154" s="2">
        <v>5.0</v>
      </c>
      <c r="F154" s="2">
        <v>0.0</v>
      </c>
      <c r="H154" s="2">
        <v>0.0</v>
      </c>
      <c r="J154" s="3" t="s">
        <v>628</v>
      </c>
      <c r="K154" s="2" t="s">
        <v>629</v>
      </c>
      <c r="L154" s="2" t="s">
        <v>540</v>
      </c>
      <c r="M154" s="2" t="s">
        <v>617</v>
      </c>
      <c r="U154" s="8" t="str">
        <f t="shared" si="1"/>
        <v>CALL InsertOrUpdateProducto('160','Laca para pisos','Laca para pisos','37','5','0','','0','','https://img.quodom.com.ar/producto/160.png','Z160','LITROS','TERMINACION','','');</v>
      </c>
    </row>
    <row r="155">
      <c r="A155" s="2">
        <v>161.0</v>
      </c>
      <c r="B155" s="2" t="s">
        <v>630</v>
      </c>
      <c r="C155" s="2" t="s">
        <v>630</v>
      </c>
      <c r="D155" s="2">
        <v>37.0</v>
      </c>
      <c r="E155" s="2">
        <v>5.0</v>
      </c>
      <c r="F155" s="2">
        <v>0.0</v>
      </c>
      <c r="H155" s="2">
        <v>0.0</v>
      </c>
      <c r="J155" s="3" t="s">
        <v>631</v>
      </c>
      <c r="K155" s="2" t="s">
        <v>632</v>
      </c>
      <c r="U155" s="8" t="str">
        <f t="shared" si="1"/>
        <v>CALL InsertOrUpdateProducto('161','Ignífugo 5 lts','Ignífugo 5 lts','37','5','0','','0','','https://img.quodom.com.ar/producto/161.png','Z161','','','','');</v>
      </c>
    </row>
    <row r="156">
      <c r="A156" s="2">
        <v>162.0</v>
      </c>
      <c r="B156" s="2" t="s">
        <v>633</v>
      </c>
      <c r="C156" s="2" t="s">
        <v>633</v>
      </c>
      <c r="D156" s="2">
        <v>37.0</v>
      </c>
      <c r="E156" s="2">
        <v>5.0</v>
      </c>
      <c r="F156" s="2">
        <v>0.0</v>
      </c>
      <c r="H156" s="2">
        <v>0.0</v>
      </c>
      <c r="J156" s="3" t="s">
        <v>634</v>
      </c>
      <c r="K156" s="2" t="s">
        <v>635</v>
      </c>
      <c r="L156" s="2" t="s">
        <v>540</v>
      </c>
      <c r="U156" s="8" t="str">
        <f t="shared" si="1"/>
        <v>CALL InsertOrUpdateProducto('162','Mateante','Mateante','37','5','0','','0','','https://img.quodom.com.ar/producto/162.png','Z162','LITROS','','','');</v>
      </c>
    </row>
    <row r="157">
      <c r="A157" s="2">
        <v>163.0</v>
      </c>
      <c r="B157" s="2" t="s">
        <v>636</v>
      </c>
      <c r="C157" s="2" t="s">
        <v>636</v>
      </c>
      <c r="D157" s="2">
        <v>37.0</v>
      </c>
      <c r="E157" s="2">
        <v>5.0</v>
      </c>
      <c r="F157" s="2">
        <v>0.0</v>
      </c>
      <c r="H157" s="2">
        <v>0.0</v>
      </c>
      <c r="J157" s="3" t="s">
        <v>637</v>
      </c>
      <c r="K157" s="2" t="s">
        <v>638</v>
      </c>
      <c r="L157" s="2" t="s">
        <v>540</v>
      </c>
      <c r="U157" s="8" t="str">
        <f t="shared" si="1"/>
        <v>CALL InsertOrUpdateProducto('163','Preservador','Preservador','37','5','0','','0','','https://img.quodom.com.ar/producto/163.png','Z163','LITROS','','','');</v>
      </c>
    </row>
    <row r="158">
      <c r="A158" s="2">
        <v>164.0</v>
      </c>
      <c r="B158" s="2" t="s">
        <v>639</v>
      </c>
      <c r="C158" s="2" t="s">
        <v>639</v>
      </c>
      <c r="D158" s="2">
        <v>37.0</v>
      </c>
      <c r="E158" s="2">
        <v>5.0</v>
      </c>
      <c r="F158" s="2">
        <v>0.0</v>
      </c>
      <c r="H158" s="2">
        <v>0.0</v>
      </c>
      <c r="J158" s="3" t="s">
        <v>640</v>
      </c>
      <c r="K158" s="2" t="s">
        <v>641</v>
      </c>
      <c r="U158" s="8" t="str">
        <f t="shared" si="1"/>
        <v>CALL InsertOrUpdateProducto('164','Sal de limón 1 litro','Sal de limón 1 litro','37','5','0','','0','','https://img.quodom.com.ar/producto/164.png','Z164','','','','');</v>
      </c>
    </row>
    <row r="159">
      <c r="A159" s="2">
        <v>165.0</v>
      </c>
      <c r="B159" s="2" t="s">
        <v>642</v>
      </c>
      <c r="C159" s="2" t="s">
        <v>642</v>
      </c>
      <c r="D159" s="2">
        <v>37.0</v>
      </c>
      <c r="E159" s="2">
        <v>5.0</v>
      </c>
      <c r="F159" s="2">
        <v>0.0</v>
      </c>
      <c r="H159" s="2">
        <v>0.0</v>
      </c>
      <c r="J159" s="3" t="s">
        <v>643</v>
      </c>
      <c r="K159" s="2" t="s">
        <v>644</v>
      </c>
      <c r="L159" s="2" t="s">
        <v>581</v>
      </c>
      <c r="U159" s="8" t="str">
        <f t="shared" si="1"/>
        <v>CALL InsertOrUpdateProducto('165','Tinta 60 ml','Tinta 60 ml','37','5','0','','0','','https://img.quodom.com.ar/producto/165.png','Z165','COLOR','','','');</v>
      </c>
    </row>
    <row r="160">
      <c r="A160" s="2">
        <v>166.0</v>
      </c>
      <c r="B160" s="2" t="s">
        <v>645</v>
      </c>
      <c r="C160" s="2" t="s">
        <v>645</v>
      </c>
      <c r="D160" s="2">
        <v>36.0</v>
      </c>
      <c r="E160" s="2">
        <v>5.0</v>
      </c>
      <c r="F160" s="2">
        <v>0.0</v>
      </c>
      <c r="H160" s="2">
        <v>0.0</v>
      </c>
      <c r="J160" s="3" t="s">
        <v>646</v>
      </c>
      <c r="K160" s="2" t="s">
        <v>647</v>
      </c>
      <c r="U160" s="8" t="str">
        <f t="shared" si="1"/>
        <v>CALL InsertOrUpdateProducto('166','Simil madera 0,75 litros Venier','Simil madera 0,75 litros Venier','36','5','0','','0','','https://img.quodom.com.ar/producto/166.png','Z166','','','','');</v>
      </c>
    </row>
    <row r="161">
      <c r="A161" s="2">
        <v>181.0</v>
      </c>
      <c r="B161" s="2" t="s">
        <v>648</v>
      </c>
      <c r="C161" s="2" t="s">
        <v>648</v>
      </c>
      <c r="D161" s="2">
        <v>39.0</v>
      </c>
      <c r="E161" s="2">
        <v>5.0</v>
      </c>
      <c r="F161" s="2">
        <v>0.0</v>
      </c>
      <c r="H161" s="2">
        <v>0.0</v>
      </c>
      <c r="J161" s="3" t="s">
        <v>649</v>
      </c>
      <c r="K161" s="2" t="s">
        <v>650</v>
      </c>
      <c r="L161" s="2" t="s">
        <v>263</v>
      </c>
      <c r="U161" s="8" t="str">
        <f t="shared" si="1"/>
        <v>CALL InsertOrUpdateProducto('181','Pincel para Latex','Pincel para Latex','39','5','0','','0','','https://img.quodom.com.ar/producto/181.png','Z181','MEDIDAS','','','');</v>
      </c>
    </row>
    <row r="162">
      <c r="A162" s="2">
        <v>182.0</v>
      </c>
      <c r="B162" s="2" t="s">
        <v>651</v>
      </c>
      <c r="C162" s="2" t="s">
        <v>651</v>
      </c>
      <c r="D162" s="2">
        <v>39.0</v>
      </c>
      <c r="E162" s="2">
        <v>5.0</v>
      </c>
      <c r="F162" s="2">
        <v>0.0</v>
      </c>
      <c r="H162" s="2">
        <v>0.0</v>
      </c>
      <c r="J162" s="3" t="s">
        <v>652</v>
      </c>
      <c r="K162" s="2" t="s">
        <v>653</v>
      </c>
      <c r="L162" s="2" t="s">
        <v>263</v>
      </c>
      <c r="U162" s="8" t="str">
        <f t="shared" si="1"/>
        <v>CALL InsertOrUpdateProducto('182','Rodillo de Lana','Rodillo de Lana','39','5','0','','0','','https://img.quodom.com.ar/producto/182.png','Z182','MEDIDAS','','','');</v>
      </c>
    </row>
    <row r="163">
      <c r="A163" s="2">
        <v>183.0</v>
      </c>
      <c r="B163" s="2" t="s">
        <v>654</v>
      </c>
      <c r="C163" s="2" t="s">
        <v>654</v>
      </c>
      <c r="D163" s="2">
        <v>39.0</v>
      </c>
      <c r="E163" s="2">
        <v>5.0</v>
      </c>
      <c r="F163" s="2">
        <v>0.0</v>
      </c>
      <c r="H163" s="2">
        <v>0.0</v>
      </c>
      <c r="J163" s="3" t="s">
        <v>655</v>
      </c>
      <c r="K163" s="2" t="s">
        <v>656</v>
      </c>
      <c r="L163" s="2" t="s">
        <v>263</v>
      </c>
      <c r="U163" s="8" t="str">
        <f t="shared" si="1"/>
        <v>CALL InsertOrUpdateProducto('183','Espátula Metálica','Espátula Metálica','39','5','0','','0','','https://img.quodom.com.ar/producto/183.png','Z183','MEDIDAS','','','');</v>
      </c>
    </row>
    <row r="164">
      <c r="A164" s="2">
        <v>184.0</v>
      </c>
      <c r="B164" s="2" t="s">
        <v>657</v>
      </c>
      <c r="C164" s="2" t="s">
        <v>657</v>
      </c>
      <c r="D164" s="2">
        <v>39.0</v>
      </c>
      <c r="E164" s="2">
        <v>5.0</v>
      </c>
      <c r="F164" s="2">
        <v>0.0</v>
      </c>
      <c r="H164" s="2">
        <v>0.0</v>
      </c>
      <c r="J164" s="3" t="s">
        <v>658</v>
      </c>
      <c r="K164" s="2" t="s">
        <v>659</v>
      </c>
      <c r="L164" s="2" t="s">
        <v>263</v>
      </c>
      <c r="U164" s="8" t="str">
        <f t="shared" si="1"/>
        <v>CALL InsertOrUpdateProducto('184','Llana Metálica','Llana Metálica','39','5','0','','0','','https://img.quodom.com.ar/producto/184.png','Z184','MEDIDAS','','','');</v>
      </c>
    </row>
    <row r="165">
      <c r="A165" s="2">
        <v>185.0</v>
      </c>
      <c r="B165" s="2" t="s">
        <v>660</v>
      </c>
      <c r="C165" s="2" t="s">
        <v>660</v>
      </c>
      <c r="D165" s="2">
        <v>39.0</v>
      </c>
      <c r="E165" s="2">
        <v>5.0</v>
      </c>
      <c r="F165" s="2">
        <v>0.0</v>
      </c>
      <c r="H165" s="2">
        <v>0.0</v>
      </c>
      <c r="J165" s="3" t="s">
        <v>661</v>
      </c>
      <c r="K165" s="2" t="s">
        <v>662</v>
      </c>
      <c r="L165" s="2" t="s">
        <v>663</v>
      </c>
      <c r="U165" s="8" t="str">
        <f t="shared" si="1"/>
        <v>CALL InsertOrUpdateProducto('185','Bandeja Plana','Bandeja Plana','39','5','0','','0','','https://img.quodom.com.ar/producto/185.png','Z185','TAMAÑO','','','');</v>
      </c>
    </row>
    <row r="166">
      <c r="A166" s="2">
        <v>186.0</v>
      </c>
      <c r="B166" s="2" t="s">
        <v>664</v>
      </c>
      <c r="C166" s="2" t="s">
        <v>664</v>
      </c>
      <c r="D166" s="2">
        <v>39.0</v>
      </c>
      <c r="E166" s="2">
        <v>5.0</v>
      </c>
      <c r="F166" s="2">
        <v>0.0</v>
      </c>
      <c r="H166" s="2">
        <v>0.0</v>
      </c>
      <c r="J166" s="3" t="s">
        <v>665</v>
      </c>
      <c r="K166" s="2" t="s">
        <v>666</v>
      </c>
      <c r="U166" s="8" t="str">
        <f t="shared" si="1"/>
        <v>CALL InsertOrUpdateProducto('186','Fratacho 20 x 13 cm','Fratacho 20 x 13 cm','39','5','0','','0','','https://img.quodom.com.ar/producto/186.png','Z186','','','','');</v>
      </c>
    </row>
    <row r="167">
      <c r="A167" s="2">
        <v>187.0</v>
      </c>
      <c r="B167" s="2" t="s">
        <v>667</v>
      </c>
      <c r="C167" s="2" t="s">
        <v>667</v>
      </c>
      <c r="D167" s="2">
        <v>39.0</v>
      </c>
      <c r="E167" s="2">
        <v>5.0</v>
      </c>
      <c r="F167" s="2">
        <v>0.0</v>
      </c>
      <c r="H167" s="2">
        <v>0.0</v>
      </c>
      <c r="J167" s="3" t="s">
        <v>668</v>
      </c>
      <c r="K167" s="2" t="s">
        <v>669</v>
      </c>
      <c r="L167" s="2" t="s">
        <v>263</v>
      </c>
      <c r="U167" s="8" t="str">
        <f t="shared" si="1"/>
        <v>CALL InsertOrUpdateProducto('187','Cepillo de acero','Cepillo de acero','39','5','0','','0','','https://img.quodom.com.ar/producto/187.png','Z187','MEDIDAS','','','');</v>
      </c>
    </row>
    <row r="168">
      <c r="A168" s="2">
        <v>188.0</v>
      </c>
      <c r="B168" s="2" t="s">
        <v>670</v>
      </c>
      <c r="C168" s="2" t="s">
        <v>670</v>
      </c>
      <c r="D168" s="2">
        <v>39.0</v>
      </c>
      <c r="E168" s="2">
        <v>5.0</v>
      </c>
      <c r="F168" s="2">
        <v>0.0</v>
      </c>
      <c r="H168" s="2">
        <v>0.0</v>
      </c>
      <c r="J168" s="3" t="s">
        <v>671</v>
      </c>
      <c r="K168" s="2" t="s">
        <v>672</v>
      </c>
      <c r="L168" s="2" t="s">
        <v>673</v>
      </c>
      <c r="U168" s="8" t="str">
        <f t="shared" si="1"/>
        <v>CALL InsertOrUpdateProducto('188','Lijas al agua por 10 unidades','Lijas al agua por 10 unidades','39','5','0','','0','','https://img.quodom.com.ar/producto/188.png','Z188','GRANO','','','');</v>
      </c>
    </row>
    <row r="169">
      <c r="A169" s="2">
        <v>189.0</v>
      </c>
      <c r="B169" s="2" t="s">
        <v>674</v>
      </c>
      <c r="C169" s="2" t="s">
        <v>674</v>
      </c>
      <c r="D169" s="2">
        <v>39.0</v>
      </c>
      <c r="E169" s="2">
        <v>5.0</v>
      </c>
      <c r="F169" s="2">
        <v>0.0</v>
      </c>
      <c r="H169" s="2">
        <v>0.0</v>
      </c>
      <c r="J169" s="3" t="s">
        <v>675</v>
      </c>
      <c r="K169" s="2" t="s">
        <v>676</v>
      </c>
      <c r="L169" s="2" t="s">
        <v>263</v>
      </c>
      <c r="U169" s="8" t="str">
        <f t="shared" si="1"/>
        <v>CALL InsertOrUpdateProducto('189','Escalera de madera','Escalera de madera','39','5','0','','0','','https://img.quodom.com.ar/producto/189.png','Z189','MEDIDAS','','','');</v>
      </c>
    </row>
    <row r="170">
      <c r="A170" s="2">
        <v>190.0</v>
      </c>
      <c r="B170" s="2" t="s">
        <v>677</v>
      </c>
      <c r="C170" s="2" t="s">
        <v>677</v>
      </c>
      <c r="D170" s="2">
        <v>39.0</v>
      </c>
      <c r="E170" s="2">
        <v>5.0</v>
      </c>
      <c r="F170" s="2">
        <v>0.0</v>
      </c>
      <c r="H170" s="2">
        <v>0.0</v>
      </c>
      <c r="J170" s="3" t="s">
        <v>678</v>
      </c>
      <c r="K170" s="2" t="s">
        <v>679</v>
      </c>
      <c r="U170" s="8" t="str">
        <f t="shared" si="1"/>
        <v>CALL InsertOrUpdateProducto('190','Caballete 80 cm','Caballete 80 cm','39','5','0','','0','','https://img.quodom.com.ar/producto/190.png','Z190','','','','');</v>
      </c>
    </row>
    <row r="171">
      <c r="A171" s="2">
        <v>192.0</v>
      </c>
      <c r="B171" s="2" t="s">
        <v>680</v>
      </c>
      <c r="C171" s="2" t="s">
        <v>680</v>
      </c>
      <c r="D171" s="2">
        <v>39.0</v>
      </c>
      <c r="E171" s="2">
        <v>5.0</v>
      </c>
      <c r="F171" s="2">
        <v>0.0</v>
      </c>
      <c r="H171" s="2">
        <v>0.0</v>
      </c>
      <c r="J171" s="3" t="s">
        <v>681</v>
      </c>
      <c r="K171" s="2" t="s">
        <v>682</v>
      </c>
      <c r="L171" s="2" t="s">
        <v>263</v>
      </c>
      <c r="U171" s="8" t="str">
        <f t="shared" si="1"/>
        <v>CALL InsertOrUpdateProducto('192','Cinta multiuso Blanca por 5 unidades','Cinta multiuso Blanca por 5 unidades','39','5','0','','0','','https://img.quodom.com.ar/producto/192.png','Z192','MEDIDAS','','','');</v>
      </c>
    </row>
    <row r="172">
      <c r="A172" s="2">
        <v>193.0</v>
      </c>
      <c r="B172" s="2" t="s">
        <v>683</v>
      </c>
      <c r="C172" s="2" t="s">
        <v>683</v>
      </c>
      <c r="D172" s="2">
        <v>39.0</v>
      </c>
      <c r="E172" s="2">
        <v>5.0</v>
      </c>
      <c r="F172" s="2">
        <v>0.0</v>
      </c>
      <c r="H172" s="2">
        <v>0.0</v>
      </c>
      <c r="J172" s="3" t="s">
        <v>684</v>
      </c>
      <c r="K172" s="2" t="s">
        <v>685</v>
      </c>
      <c r="U172" s="8" t="str">
        <f t="shared" si="1"/>
        <v>CALL InsertOrUpdateProducto('193','Cartón corrugado 0,80 x 30 mts','Cartón corrugado 0,80 x 30 mts','39','5','0','','0','','https://img.quodom.com.ar/producto/193.png','Z193','','','','');</v>
      </c>
    </row>
    <row r="173">
      <c r="A173" s="2">
        <v>194.0</v>
      </c>
      <c r="B173" s="2" t="s">
        <v>686</v>
      </c>
      <c r="C173" s="2" t="s">
        <v>686</v>
      </c>
      <c r="D173" s="2">
        <v>39.0</v>
      </c>
      <c r="E173" s="2">
        <v>5.0</v>
      </c>
      <c r="F173" s="2">
        <v>0.0</v>
      </c>
      <c r="H173" s="2">
        <v>0.0</v>
      </c>
      <c r="J173" s="3" t="s">
        <v>687</v>
      </c>
      <c r="K173" s="2" t="s">
        <v>688</v>
      </c>
      <c r="U173" s="8" t="str">
        <f t="shared" si="1"/>
        <v>CALL InsertOrUpdateProducto('194','Pistola aplicadora de cartucho sellador','Pistola aplicadora de cartucho sellador','39','5','0','','0','','https://img.quodom.com.ar/producto/194.png','Z194','','','','');</v>
      </c>
    </row>
    <row r="174">
      <c r="A174" s="2">
        <v>195.0</v>
      </c>
      <c r="B174" s="2" t="s">
        <v>689</v>
      </c>
      <c r="C174" s="2" t="s">
        <v>689</v>
      </c>
      <c r="D174" s="2">
        <v>40.0</v>
      </c>
      <c r="E174" s="2">
        <v>5.0</v>
      </c>
      <c r="F174" s="2">
        <v>0.0</v>
      </c>
      <c r="H174" s="2">
        <v>0.0</v>
      </c>
      <c r="J174" s="3" t="s">
        <v>690</v>
      </c>
      <c r="K174" s="2" t="s">
        <v>691</v>
      </c>
      <c r="L174" s="2" t="s">
        <v>692</v>
      </c>
      <c r="M174" s="2" t="s">
        <v>259</v>
      </c>
      <c r="U174" s="8" t="str">
        <f t="shared" si="1"/>
        <v>CALL InsertOrUpdateProducto('195','Enduído','Enduído','40','5','0','','0','','https://img.quodom.com.ar/producto/195.png','Z195','PESO','TIPO','','');</v>
      </c>
    </row>
    <row r="175">
      <c r="A175" s="2">
        <v>196.0</v>
      </c>
      <c r="B175" s="2" t="s">
        <v>693</v>
      </c>
      <c r="C175" s="2" t="s">
        <v>693</v>
      </c>
      <c r="D175" s="2">
        <v>40.0</v>
      </c>
      <c r="E175" s="2">
        <v>5.0</v>
      </c>
      <c r="F175" s="2">
        <v>0.0</v>
      </c>
      <c r="H175" s="2">
        <v>0.0</v>
      </c>
      <c r="J175" s="3" t="s">
        <v>694</v>
      </c>
      <c r="K175" s="2" t="s">
        <v>695</v>
      </c>
      <c r="L175" s="2" t="s">
        <v>540</v>
      </c>
      <c r="U175" s="8" t="str">
        <f t="shared" si="1"/>
        <v>CALL InsertOrUpdateProducto('196','Fijador/Sellador','Fijador/Sellador','40','5','0','','0','','https://img.quodom.com.ar/producto/196.png','Z196','LITROS','','','');</v>
      </c>
    </row>
    <row r="176">
      <c r="A176" s="2">
        <v>197.0</v>
      </c>
      <c r="B176" s="2" t="s">
        <v>696</v>
      </c>
      <c r="C176" s="2" t="s">
        <v>696</v>
      </c>
      <c r="D176" s="2">
        <v>40.0</v>
      </c>
      <c r="E176" s="2">
        <v>5.0</v>
      </c>
      <c r="F176" s="2">
        <v>0.0</v>
      </c>
      <c r="H176" s="2">
        <v>0.0</v>
      </c>
      <c r="J176" s="3" t="s">
        <v>697</v>
      </c>
      <c r="K176" s="2" t="s">
        <v>698</v>
      </c>
      <c r="L176" s="2" t="s">
        <v>540</v>
      </c>
      <c r="U176" s="8" t="str">
        <f t="shared" si="1"/>
        <v>CALL InsertOrUpdateProducto('197','Removedor Gel','Removedor Gel','40','5','0','','0','','https://img.quodom.com.ar/producto/197.png','Z197','LITROS','','','');</v>
      </c>
    </row>
    <row r="177">
      <c r="A177" s="2">
        <v>198.0</v>
      </c>
      <c r="B177" s="2" t="s">
        <v>699</v>
      </c>
      <c r="C177" s="2" t="s">
        <v>699</v>
      </c>
      <c r="D177" s="2">
        <v>40.0</v>
      </c>
      <c r="E177" s="2">
        <v>5.0</v>
      </c>
      <c r="F177" s="2">
        <v>0.0</v>
      </c>
      <c r="H177" s="2">
        <v>0.0</v>
      </c>
      <c r="J177" s="3" t="s">
        <v>700</v>
      </c>
      <c r="K177" s="2" t="s">
        <v>701</v>
      </c>
      <c r="L177" s="2" t="s">
        <v>692</v>
      </c>
      <c r="U177" s="8" t="str">
        <f t="shared" si="1"/>
        <v>CALL InsertOrUpdateProducto('198','Masilla Elástica','Masilla Elástica','40','5','0','','0','','https://img.quodom.com.ar/producto/198.png','Z198','PESO','','','');</v>
      </c>
    </row>
    <row r="178">
      <c r="A178" s="2">
        <v>200.0</v>
      </c>
      <c r="B178" s="2" t="s">
        <v>702</v>
      </c>
      <c r="C178" s="2" t="s">
        <v>702</v>
      </c>
      <c r="D178" s="2">
        <v>41.0</v>
      </c>
      <c r="E178" s="2">
        <v>6.0</v>
      </c>
      <c r="F178" s="2">
        <v>0.0</v>
      </c>
      <c r="H178" s="2">
        <v>0.0</v>
      </c>
      <c r="J178" s="3" t="s">
        <v>703</v>
      </c>
      <c r="K178" s="2" t="s">
        <v>704</v>
      </c>
      <c r="L178" s="2" t="s">
        <v>263</v>
      </c>
      <c r="U178" s="8" t="str">
        <f t="shared" si="1"/>
        <v>CALL InsertOrUpdateProducto('200','Codo a 45° pack 10 unidades','Codo a 45° pack 10 unidades','41','6','0','','0','','https://img.quodom.com.ar/producto/200.png','Z200','MEDIDAS','','','');</v>
      </c>
    </row>
    <row r="179">
      <c r="A179" s="2">
        <v>201.0</v>
      </c>
      <c r="B179" s="2" t="s">
        <v>705</v>
      </c>
      <c r="C179" s="2" t="s">
        <v>705</v>
      </c>
      <c r="D179" s="2">
        <v>41.0</v>
      </c>
      <c r="E179" s="2">
        <v>6.0</v>
      </c>
      <c r="F179" s="2">
        <v>0.0</v>
      </c>
      <c r="H179" s="2">
        <v>0.0</v>
      </c>
      <c r="J179" s="3" t="s">
        <v>706</v>
      </c>
      <c r="K179" s="2" t="s">
        <v>707</v>
      </c>
      <c r="L179" s="2" t="s">
        <v>263</v>
      </c>
      <c r="U179" s="8" t="str">
        <f t="shared" si="1"/>
        <v>CALL InsertOrUpdateProducto('201','Codo a 90° pack 10 unidades','Codo a 90° pack 10 unidades','41','6','0','','0','','https://img.quodom.com.ar/producto/201.png','Z201','MEDIDAS','','','');</v>
      </c>
    </row>
    <row r="180">
      <c r="A180" s="2">
        <v>202.0</v>
      </c>
      <c r="B180" s="2" t="s">
        <v>708</v>
      </c>
      <c r="C180" s="2" t="s">
        <v>708</v>
      </c>
      <c r="D180" s="2">
        <v>41.0</v>
      </c>
      <c r="E180" s="2">
        <v>6.0</v>
      </c>
      <c r="F180" s="2">
        <v>0.0</v>
      </c>
      <c r="H180" s="2">
        <v>0.0</v>
      </c>
      <c r="J180" s="3" t="s">
        <v>709</v>
      </c>
      <c r="K180" s="2" t="s">
        <v>710</v>
      </c>
      <c r="L180" s="2" t="s">
        <v>263</v>
      </c>
      <c r="U180" s="8" t="str">
        <f t="shared" si="1"/>
        <v>CALL InsertOrUpdateProducto('202','Codo a 90° rosca hembra pack 10 unidades','Codo a 90° rosca hembra pack 10 unidades','41','6','0','','0','','https://img.quodom.com.ar/producto/202.png','Z202','MEDIDAS','','','');</v>
      </c>
    </row>
    <row r="181">
      <c r="A181" s="2">
        <v>203.0</v>
      </c>
      <c r="B181" s="2" t="s">
        <v>711</v>
      </c>
      <c r="C181" s="2" t="s">
        <v>711</v>
      </c>
      <c r="D181" s="2">
        <v>41.0</v>
      </c>
      <c r="E181" s="2">
        <v>6.0</v>
      </c>
      <c r="F181" s="2">
        <v>0.0</v>
      </c>
      <c r="H181" s="2">
        <v>0.0</v>
      </c>
      <c r="J181" s="3" t="s">
        <v>712</v>
      </c>
      <c r="K181" s="2" t="s">
        <v>713</v>
      </c>
      <c r="L181" s="2" t="s">
        <v>263</v>
      </c>
      <c r="U181" s="8" t="str">
        <f t="shared" si="1"/>
        <v>CALL InsertOrUpdateProducto('203','Te rosca central hembra pack 10 unidades','Te rosca central hembra pack 10 unidades','41','6','0','','0','','https://img.quodom.com.ar/producto/203.png','Z203','MEDIDAS','','','');</v>
      </c>
    </row>
    <row r="182">
      <c r="A182" s="2">
        <v>204.0</v>
      </c>
      <c r="B182" s="2" t="s">
        <v>714</v>
      </c>
      <c r="C182" s="2" t="s">
        <v>714</v>
      </c>
      <c r="D182" s="2">
        <v>41.0</v>
      </c>
      <c r="E182" s="2">
        <v>6.0</v>
      </c>
      <c r="F182" s="2">
        <v>0.0</v>
      </c>
      <c r="H182" s="2">
        <v>0.0</v>
      </c>
      <c r="J182" s="3" t="s">
        <v>715</v>
      </c>
      <c r="K182" s="2" t="s">
        <v>716</v>
      </c>
      <c r="L182" s="2" t="s">
        <v>263</v>
      </c>
      <c r="U182" s="8" t="str">
        <f t="shared" si="1"/>
        <v>CALL InsertOrUpdateProducto('204','Te normal pack 10 unidades','Te normal pack 10 unidades','41','6','0','','0','','https://img.quodom.com.ar/producto/204.png','Z204','MEDIDAS','','','');</v>
      </c>
    </row>
    <row r="183">
      <c r="A183" s="2">
        <v>205.0</v>
      </c>
      <c r="B183" s="2" t="s">
        <v>717</v>
      </c>
      <c r="C183" s="2" t="s">
        <v>717</v>
      </c>
      <c r="D183" s="2">
        <v>41.0</v>
      </c>
      <c r="E183" s="2">
        <v>6.0</v>
      </c>
      <c r="F183" s="2">
        <v>0.0</v>
      </c>
      <c r="H183" s="2">
        <v>0.0</v>
      </c>
      <c r="J183" s="3" t="s">
        <v>718</v>
      </c>
      <c r="K183" s="2" t="s">
        <v>719</v>
      </c>
      <c r="L183" s="2" t="s">
        <v>263</v>
      </c>
      <c r="U183" s="8" t="str">
        <f t="shared" si="1"/>
        <v>CALL InsertOrUpdateProducto('205','Te reducción central pack 10 unidades','Te reducción central pack 10 unidades','41','6','0','','0','','https://img.quodom.com.ar/producto/205.png','Z205','MEDIDAS','','','');</v>
      </c>
    </row>
    <row r="184">
      <c r="A184" s="2">
        <v>206.0</v>
      </c>
      <c r="B184" s="2" t="s">
        <v>720</v>
      </c>
      <c r="C184" s="2" t="s">
        <v>720</v>
      </c>
      <c r="D184" s="2">
        <v>41.0</v>
      </c>
      <c r="E184" s="2">
        <v>6.0</v>
      </c>
      <c r="F184" s="2">
        <v>0.0</v>
      </c>
      <c r="H184" s="2">
        <v>0.0</v>
      </c>
      <c r="J184" s="3" t="s">
        <v>721</v>
      </c>
      <c r="K184" s="2" t="s">
        <v>722</v>
      </c>
      <c r="L184" s="2" t="s">
        <v>263</v>
      </c>
      <c r="U184" s="8" t="str">
        <f t="shared" si="1"/>
        <v>CALL InsertOrUpdateProducto('206','Tubo hembra pack 10 unidades','Tubo hembra pack 10 unidades','41','6','0','','0','','https://img.quodom.com.ar/producto/206.png','Z206','MEDIDAS','','','');</v>
      </c>
    </row>
    <row r="185">
      <c r="A185" s="2">
        <v>207.0</v>
      </c>
      <c r="B185" s="2" t="s">
        <v>723</v>
      </c>
      <c r="C185" s="2" t="s">
        <v>723</v>
      </c>
      <c r="D185" s="2">
        <v>41.0</v>
      </c>
      <c r="E185" s="2">
        <v>6.0</v>
      </c>
      <c r="F185" s="2">
        <v>0.0</v>
      </c>
      <c r="H185" s="2">
        <v>0.0</v>
      </c>
      <c r="J185" s="3" t="s">
        <v>724</v>
      </c>
      <c r="K185" s="2" t="s">
        <v>725</v>
      </c>
      <c r="L185" s="2" t="s">
        <v>263</v>
      </c>
      <c r="U185" s="8" t="str">
        <f t="shared" si="1"/>
        <v>CALL InsertOrUpdateProducto('207','Tubo macho pack 10 unidades','Tubo macho pack 10 unidades','41','6','0','','0','','https://img.quodom.com.ar/producto/207.png','Z207','MEDIDAS','','','');</v>
      </c>
    </row>
    <row r="186">
      <c r="A186" s="2">
        <v>208.0</v>
      </c>
      <c r="B186" s="2" t="s">
        <v>726</v>
      </c>
      <c r="C186" s="2" t="s">
        <v>726</v>
      </c>
      <c r="D186" s="2">
        <v>41.0</v>
      </c>
      <c r="E186" s="2">
        <v>6.0</v>
      </c>
      <c r="F186" s="2">
        <v>0.0</v>
      </c>
      <c r="H186" s="2">
        <v>0.0</v>
      </c>
      <c r="J186" s="3" t="s">
        <v>727</v>
      </c>
      <c r="K186" s="2" t="s">
        <v>728</v>
      </c>
      <c r="L186" s="2" t="s">
        <v>263</v>
      </c>
      <c r="U186" s="8" t="str">
        <f t="shared" si="1"/>
        <v>CALL InsertOrUpdateProducto('208','Tubo ppr3 PN12.5 pack 10 unidades','Tubo ppr3 PN12.5 pack 10 unidades','41','6','0','','0','','https://img.quodom.com.ar/producto/208.png','Z208','MEDIDAS','','','');</v>
      </c>
    </row>
    <row r="187">
      <c r="A187" s="2">
        <v>209.0</v>
      </c>
      <c r="B187" s="2" t="s">
        <v>729</v>
      </c>
      <c r="C187" s="2" t="s">
        <v>729</v>
      </c>
      <c r="D187" s="2">
        <v>41.0</v>
      </c>
      <c r="E187" s="2">
        <v>6.0</v>
      </c>
      <c r="F187" s="2">
        <v>0.0</v>
      </c>
      <c r="H187" s="2">
        <v>0.0</v>
      </c>
      <c r="J187" s="3" t="s">
        <v>730</v>
      </c>
      <c r="K187" s="2" t="s">
        <v>731</v>
      </c>
      <c r="L187" s="2" t="s">
        <v>263</v>
      </c>
      <c r="U187" s="8" t="str">
        <f t="shared" si="1"/>
        <v>CALL InsertOrUpdateProducto('209','Tubo ppr3 PN20 pack 10 unidades','Tubo ppr3 PN20 pack 10 unidades','41','6','0','','0','','https://img.quodom.com.ar/producto/209.png','Z209','MEDIDAS','','','');</v>
      </c>
    </row>
    <row r="188">
      <c r="A188" s="2">
        <v>210.0</v>
      </c>
      <c r="B188" s="2" t="s">
        <v>732</v>
      </c>
      <c r="C188" s="2" t="s">
        <v>732</v>
      </c>
      <c r="D188" s="2">
        <v>41.0</v>
      </c>
      <c r="E188" s="2">
        <v>6.0</v>
      </c>
      <c r="F188" s="2">
        <v>0.0</v>
      </c>
      <c r="H188" s="2">
        <v>0.0</v>
      </c>
      <c r="J188" s="3" t="s">
        <v>733</v>
      </c>
      <c r="K188" s="2" t="s">
        <v>734</v>
      </c>
      <c r="L188" s="2" t="s">
        <v>263</v>
      </c>
      <c r="U188" s="8" t="str">
        <f t="shared" si="1"/>
        <v>CALL InsertOrUpdateProducto('210','Llave de paso pleno','Llave de paso pleno','41','6','0','','0','','https://img.quodom.com.ar/producto/210.png','Z210','MEDIDAS','','','');</v>
      </c>
    </row>
    <row r="189">
      <c r="A189" s="2">
        <v>211.0</v>
      </c>
      <c r="B189" s="2" t="s">
        <v>735</v>
      </c>
      <c r="C189" s="2" t="s">
        <v>735</v>
      </c>
      <c r="D189" s="2">
        <v>41.0</v>
      </c>
      <c r="E189" s="2">
        <v>6.0</v>
      </c>
      <c r="F189" s="2">
        <v>0.0</v>
      </c>
      <c r="H189" s="2">
        <v>0.0</v>
      </c>
      <c r="J189" s="3" t="s">
        <v>736</v>
      </c>
      <c r="K189" s="2" t="s">
        <v>737</v>
      </c>
      <c r="L189" s="2" t="s">
        <v>263</v>
      </c>
      <c r="U189" s="8" t="str">
        <f t="shared" si="1"/>
        <v>CALL InsertOrUpdateProducto('211','Tapa pack 10 unidades','Tapa pack 10 unidades','41','6','0','','0','','https://img.quodom.com.ar/producto/211.png','Z211','MEDIDAS','','','');</v>
      </c>
    </row>
    <row r="190">
      <c r="A190" s="2">
        <v>212.0</v>
      </c>
      <c r="B190" s="2" t="s">
        <v>738</v>
      </c>
      <c r="C190" s="2" t="s">
        <v>738</v>
      </c>
      <c r="D190" s="2">
        <v>41.0</v>
      </c>
      <c r="E190" s="2">
        <v>6.0</v>
      </c>
      <c r="F190" s="2">
        <v>0.0</v>
      </c>
      <c r="H190" s="2">
        <v>0.0</v>
      </c>
      <c r="J190" s="3" t="s">
        <v>739</v>
      </c>
      <c r="K190" s="2" t="s">
        <v>740</v>
      </c>
      <c r="L190" s="2" t="s">
        <v>263</v>
      </c>
      <c r="U190" s="8" t="str">
        <f t="shared" si="1"/>
        <v>CALL InsertOrUpdateProducto('212','Unión doble con brida','Unión doble con brida','41','6','0','','0','','https://img.quodom.com.ar/producto/212.png','Z212','MEDIDAS','','','');</v>
      </c>
    </row>
    <row r="191">
      <c r="A191" s="2">
        <v>213.0</v>
      </c>
      <c r="B191" s="2" t="s">
        <v>741</v>
      </c>
      <c r="C191" s="2" t="s">
        <v>741</v>
      </c>
      <c r="D191" s="2">
        <v>41.0</v>
      </c>
      <c r="E191" s="2">
        <v>6.0</v>
      </c>
      <c r="F191" s="2">
        <v>0.0</v>
      </c>
      <c r="H191" s="2">
        <v>0.0</v>
      </c>
      <c r="J191" s="3" t="s">
        <v>742</v>
      </c>
      <c r="K191" s="2" t="s">
        <v>743</v>
      </c>
      <c r="L191" s="2" t="s">
        <v>263</v>
      </c>
      <c r="U191" s="8" t="str">
        <f t="shared" si="1"/>
        <v>CALL InsertOrUpdateProducto('213','Unión doble pack 10 unidades','Unión doble pack 10 unidades','41','6','0','','0','','https://img.quodom.com.ar/producto/213.png','Z213','MEDIDAS','','','');</v>
      </c>
    </row>
    <row r="192">
      <c r="A192" s="2">
        <v>214.0</v>
      </c>
      <c r="B192" s="2" t="s">
        <v>744</v>
      </c>
      <c r="C192" s="2" t="s">
        <v>744</v>
      </c>
      <c r="D192" s="2">
        <v>41.0</v>
      </c>
      <c r="E192" s="2">
        <v>6.0</v>
      </c>
      <c r="F192" s="2">
        <v>0.0</v>
      </c>
      <c r="H192" s="2">
        <v>0.0</v>
      </c>
      <c r="J192" s="3" t="s">
        <v>745</v>
      </c>
      <c r="K192" s="2" t="s">
        <v>746</v>
      </c>
      <c r="L192" s="2" t="s">
        <v>263</v>
      </c>
      <c r="U192" s="8" t="str">
        <f t="shared" si="1"/>
        <v>CALL InsertOrUpdateProducto('214','Cupla de unión simple pack 10 unidades','Cupla de unión simple pack 10 unidades','41','6','0','','0','','https://img.quodom.com.ar/producto/214.png','Z214','MEDIDAS','','','');</v>
      </c>
    </row>
    <row r="193">
      <c r="A193" s="2">
        <v>215.0</v>
      </c>
      <c r="B193" s="2" t="s">
        <v>747</v>
      </c>
      <c r="C193" s="2" t="s">
        <v>747</v>
      </c>
      <c r="D193" s="2">
        <v>41.0</v>
      </c>
      <c r="E193" s="2">
        <v>6.0</v>
      </c>
      <c r="F193" s="2">
        <v>0.0</v>
      </c>
      <c r="H193" s="2">
        <v>0.0</v>
      </c>
      <c r="J193" s="3" t="s">
        <v>748</v>
      </c>
      <c r="K193" s="2" t="s">
        <v>749</v>
      </c>
      <c r="L193" s="2" t="s">
        <v>263</v>
      </c>
      <c r="U193" s="8" t="str">
        <f t="shared" si="1"/>
        <v>CALL InsertOrUpdateProducto('215','Curva de sobrepasaje pack 10 unidades','Curva de sobrepasaje pack 10 unidades','41','6','0','','0','','https://img.quodom.com.ar/producto/215.png','Z215','MEDIDAS','','','');</v>
      </c>
    </row>
    <row r="194">
      <c r="A194" s="2">
        <v>216.0</v>
      </c>
      <c r="B194" s="2" t="s">
        <v>750</v>
      </c>
      <c r="C194" s="2" t="s">
        <v>750</v>
      </c>
      <c r="D194" s="2">
        <v>42.0</v>
      </c>
      <c r="E194" s="2">
        <v>6.0</v>
      </c>
      <c r="F194" s="2">
        <v>0.0</v>
      </c>
      <c r="H194" s="2">
        <v>0.0</v>
      </c>
      <c r="J194" s="3" t="s">
        <v>751</v>
      </c>
      <c r="K194" s="2" t="s">
        <v>752</v>
      </c>
      <c r="L194" s="2" t="s">
        <v>263</v>
      </c>
      <c r="U194" s="8" t="str">
        <f t="shared" si="1"/>
        <v>CALL InsertOrUpdateProducto('216','Base metálica para tanque','Base metálica para tanque','42','6','0','','0','','https://img.quodom.com.ar/producto/216.png','Z216','MEDIDAS','','','');</v>
      </c>
    </row>
    <row r="195">
      <c r="A195" s="2">
        <v>217.0</v>
      </c>
      <c r="B195" s="2" t="s">
        <v>753</v>
      </c>
      <c r="C195" s="2" t="s">
        <v>753</v>
      </c>
      <c r="D195" s="2">
        <v>42.0</v>
      </c>
      <c r="E195" s="2">
        <v>6.0</v>
      </c>
      <c r="F195" s="2">
        <v>0.0</v>
      </c>
      <c r="H195" s="2">
        <v>0.0</v>
      </c>
      <c r="J195" s="3" t="s">
        <v>754</v>
      </c>
      <c r="K195" s="2" t="s">
        <v>755</v>
      </c>
      <c r="L195" s="2" t="s">
        <v>263</v>
      </c>
      <c r="U195" s="8" t="str">
        <f t="shared" si="1"/>
        <v>CALL InsertOrUpdateProducto('217','Tanque cisterna 1250 lts','Tanque cisterna 1250 lts','42','6','0','','0','','https://img.quodom.com.ar/producto/217.png','Z217','MEDIDAS','','','');</v>
      </c>
    </row>
    <row r="196">
      <c r="A196" s="2">
        <v>218.0</v>
      </c>
      <c r="B196" s="2" t="s">
        <v>756</v>
      </c>
      <c r="C196" s="2" t="s">
        <v>756</v>
      </c>
      <c r="D196" s="2">
        <v>42.0</v>
      </c>
      <c r="E196" s="2">
        <v>6.0</v>
      </c>
      <c r="F196" s="2">
        <v>0.0</v>
      </c>
      <c r="H196" s="2">
        <v>0.0</v>
      </c>
      <c r="J196" s="3" t="s">
        <v>757</v>
      </c>
      <c r="K196" s="2" t="s">
        <v>758</v>
      </c>
      <c r="L196" s="2" t="s">
        <v>263</v>
      </c>
      <c r="U196" s="8" t="str">
        <f t="shared" si="1"/>
        <v>CALL InsertOrUpdateProducto('218','Tanque cuadrado','Tanque cuadrado','42','6','0','','0','','https://img.quodom.com.ar/producto/218.png','Z218','MEDIDAS','','','');</v>
      </c>
    </row>
    <row r="197">
      <c r="A197" s="2">
        <v>219.0</v>
      </c>
      <c r="B197" s="2" t="s">
        <v>759</v>
      </c>
      <c r="C197" s="2" t="s">
        <v>759</v>
      </c>
      <c r="D197" s="2">
        <v>42.0</v>
      </c>
      <c r="E197" s="2">
        <v>6.0</v>
      </c>
      <c r="F197" s="2">
        <v>0.0</v>
      </c>
      <c r="H197" s="2">
        <v>0.0</v>
      </c>
      <c r="J197" s="3" t="s">
        <v>760</v>
      </c>
      <c r="K197" s="2" t="s">
        <v>761</v>
      </c>
      <c r="L197" s="2" t="s">
        <v>540</v>
      </c>
      <c r="U197" s="8" t="str">
        <f t="shared" si="1"/>
        <v>CALL InsertOrUpdateProducto('219','Tanque extrachato','Tanque extrachato','42','6','0','','0','','https://img.quodom.com.ar/producto/219.png','Z219','LITROS','','','');</v>
      </c>
    </row>
    <row r="198">
      <c r="A198" s="2">
        <v>220.0</v>
      </c>
      <c r="B198" s="2" t="s">
        <v>762</v>
      </c>
      <c r="C198" s="2" t="s">
        <v>762</v>
      </c>
      <c r="D198" s="2">
        <v>42.0</v>
      </c>
      <c r="E198" s="2">
        <v>6.0</v>
      </c>
      <c r="F198" s="2">
        <v>0.0</v>
      </c>
      <c r="H198" s="2">
        <v>0.0</v>
      </c>
      <c r="J198" s="3" t="s">
        <v>763</v>
      </c>
      <c r="K198" s="2" t="s">
        <v>764</v>
      </c>
      <c r="L198" s="2" t="s">
        <v>540</v>
      </c>
      <c r="U198" s="8" t="str">
        <f t="shared" si="1"/>
        <v>CALL InsertOrUpdateProducto('220','Tanque bicapa','Tanque bicapa','42','6','0','','0','','https://img.quodom.com.ar/producto/220.png','Z220','LITROS','','','');</v>
      </c>
    </row>
    <row r="199">
      <c r="A199" s="2">
        <v>221.0</v>
      </c>
      <c r="B199" s="2" t="s">
        <v>765</v>
      </c>
      <c r="C199" s="2" t="s">
        <v>765</v>
      </c>
      <c r="D199" s="2">
        <v>42.0</v>
      </c>
      <c r="E199" s="2">
        <v>6.0</v>
      </c>
      <c r="F199" s="2">
        <v>0.0</v>
      </c>
      <c r="H199" s="2">
        <v>0.0</v>
      </c>
      <c r="J199" s="3" t="s">
        <v>766</v>
      </c>
      <c r="K199" s="2" t="s">
        <v>767</v>
      </c>
      <c r="L199" s="2" t="s">
        <v>540</v>
      </c>
      <c r="U199" s="8" t="str">
        <f t="shared" si="1"/>
        <v>CALL InsertOrUpdateProducto('221','Tanque tricapa','Tanque tricapa','42','6','0','','0','','https://img.quodom.com.ar/producto/221.png','Z221','LITROS','','','');</v>
      </c>
    </row>
    <row r="200">
      <c r="A200" s="2">
        <v>222.0</v>
      </c>
      <c r="B200" s="2" t="s">
        <v>768</v>
      </c>
      <c r="C200" s="2" t="s">
        <v>768</v>
      </c>
      <c r="D200" s="2">
        <v>42.0</v>
      </c>
      <c r="E200" s="2">
        <v>6.0</v>
      </c>
      <c r="F200" s="2">
        <v>0.0</v>
      </c>
      <c r="H200" s="2">
        <v>0.0</v>
      </c>
      <c r="J200" s="3" t="s">
        <v>769</v>
      </c>
      <c r="K200" s="2" t="s">
        <v>770</v>
      </c>
      <c r="L200" s="2" t="s">
        <v>540</v>
      </c>
      <c r="U200" s="8" t="str">
        <f t="shared" si="1"/>
        <v>CALL InsertOrUpdateProducto('222','Tanque cuatricapa','Tanque cuatricapa','42','6','0','','0','','https://img.quodom.com.ar/producto/222.png','Z222','LITROS','','','');</v>
      </c>
    </row>
    <row r="201">
      <c r="A201" s="2">
        <v>223.0</v>
      </c>
      <c r="B201" s="2" t="s">
        <v>771</v>
      </c>
      <c r="C201" s="2" t="s">
        <v>771</v>
      </c>
      <c r="D201" s="2">
        <v>42.0</v>
      </c>
      <c r="E201" s="2">
        <v>6.0</v>
      </c>
      <c r="F201" s="2">
        <v>0.0</v>
      </c>
      <c r="H201" s="2">
        <v>0.0</v>
      </c>
      <c r="J201" s="3" t="s">
        <v>772</v>
      </c>
      <c r="K201" s="2" t="s">
        <v>773</v>
      </c>
      <c r="L201" s="2" t="s">
        <v>540</v>
      </c>
      <c r="U201" s="8" t="str">
        <f t="shared" si="1"/>
        <v>CALL InsertOrUpdateProducto('223','Tanque vertical','Tanque vertical','42','6','0','','0','','https://img.quodom.com.ar/producto/223.png','Z223','LITROS','','','');</v>
      </c>
    </row>
    <row r="202">
      <c r="A202" s="2">
        <v>224.0</v>
      </c>
      <c r="B202" s="2" t="s">
        <v>774</v>
      </c>
      <c r="C202" s="2" t="s">
        <v>774</v>
      </c>
      <c r="D202" s="2">
        <v>42.0</v>
      </c>
      <c r="E202" s="2">
        <v>6.0</v>
      </c>
      <c r="F202" s="2">
        <v>0.0</v>
      </c>
      <c r="H202" s="2">
        <v>0.0</v>
      </c>
      <c r="J202" s="3" t="s">
        <v>775</v>
      </c>
      <c r="K202" s="2" t="s">
        <v>776</v>
      </c>
      <c r="U202" s="8" t="str">
        <f t="shared" si="1"/>
        <v>CALL InsertOrUpdateProducto('224','Flotante para tanques','Flotante para tanques','42','6','0','','0','','https://img.quodom.com.ar/producto/224.png','Z224','','','','');</v>
      </c>
    </row>
    <row r="203">
      <c r="A203" s="2">
        <v>225.0</v>
      </c>
      <c r="B203" s="2" t="s">
        <v>777</v>
      </c>
      <c r="C203" s="2" t="s">
        <v>777</v>
      </c>
      <c r="D203" s="2">
        <v>43.0</v>
      </c>
      <c r="E203" s="2">
        <v>6.0</v>
      </c>
      <c r="F203" s="2">
        <v>0.0</v>
      </c>
      <c r="H203" s="2">
        <v>0.0</v>
      </c>
      <c r="J203" s="3" t="s">
        <v>778</v>
      </c>
      <c r="K203" s="2" t="s">
        <v>779</v>
      </c>
      <c r="L203" s="2" t="s">
        <v>263</v>
      </c>
      <c r="U203" s="8" t="str">
        <f t="shared" si="1"/>
        <v>CALL InsertOrUpdateProducto('225','Tapon Macho roscado pack 10 unidades','Tapon Macho roscado pack 10 unidades','43','6','0','','0','','https://img.quodom.com.ar/producto/225.png','Z225','MEDIDAS','','','');</v>
      </c>
    </row>
    <row r="204">
      <c r="A204" s="2">
        <v>226.0</v>
      </c>
      <c r="B204" s="2" t="s">
        <v>780</v>
      </c>
      <c r="C204" s="2" t="s">
        <v>780</v>
      </c>
      <c r="D204" s="2">
        <v>43.0</v>
      </c>
      <c r="E204" s="2">
        <v>6.0</v>
      </c>
      <c r="F204" s="2">
        <v>0.0</v>
      </c>
      <c r="H204" s="2">
        <v>0.0</v>
      </c>
      <c r="J204" s="3" t="s">
        <v>781</v>
      </c>
      <c r="K204" s="2" t="s">
        <v>782</v>
      </c>
      <c r="L204" s="2" t="s">
        <v>263</v>
      </c>
      <c r="U204" s="8" t="str">
        <f t="shared" si="1"/>
        <v>CALL InsertOrUpdateProducto('226','Tubo cloacal pack 10 unidades','Tubo cloacal pack 10 unidades','43','6','0','','0','','https://img.quodom.com.ar/producto/226.png','Z226','MEDIDAS','','','');</v>
      </c>
    </row>
    <row r="205">
      <c r="A205" s="2">
        <v>227.0</v>
      </c>
      <c r="B205" s="2" t="s">
        <v>783</v>
      </c>
      <c r="C205" s="2" t="s">
        <v>783</v>
      </c>
      <c r="D205" s="2">
        <v>43.0</v>
      </c>
      <c r="E205" s="2">
        <v>6.0</v>
      </c>
      <c r="F205" s="2">
        <v>0.0</v>
      </c>
      <c r="H205" s="2">
        <v>0.0</v>
      </c>
      <c r="J205" s="3" t="s">
        <v>784</v>
      </c>
      <c r="K205" s="2" t="s">
        <v>785</v>
      </c>
      <c r="L205" s="2" t="s">
        <v>263</v>
      </c>
      <c r="U205" s="8" t="str">
        <f t="shared" si="1"/>
        <v>CALL InsertOrUpdateProducto('227','Codo a 45° Hembra-Hembra pack 10 unidades','Codo a 45° Hembra-Hembra pack 10 unidades','43','6','0','','0','','https://img.quodom.com.ar/producto/227.png','Z227','MEDIDAS','','','');</v>
      </c>
    </row>
    <row r="206">
      <c r="A206" s="2">
        <v>228.0</v>
      </c>
      <c r="B206" s="2" t="s">
        <v>786</v>
      </c>
      <c r="C206" s="2" t="s">
        <v>786</v>
      </c>
      <c r="D206" s="2">
        <v>43.0</v>
      </c>
      <c r="E206" s="2">
        <v>6.0</v>
      </c>
      <c r="F206" s="2">
        <v>0.0</v>
      </c>
      <c r="H206" s="2">
        <v>0.0</v>
      </c>
      <c r="J206" s="3" t="s">
        <v>787</v>
      </c>
      <c r="K206" s="2" t="s">
        <v>788</v>
      </c>
      <c r="L206" s="2" t="s">
        <v>263</v>
      </c>
      <c r="U206" s="8" t="str">
        <f t="shared" si="1"/>
        <v>CALL InsertOrUpdateProducto('228','Codo a 45° Macho-Hembra pack 10 unidades','Codo a 45° Macho-Hembra pack 10 unidades','43','6','0','','0','','https://img.quodom.com.ar/producto/228.png','Z228','MEDIDAS','','','');</v>
      </c>
    </row>
    <row r="207">
      <c r="A207" s="2">
        <v>229.0</v>
      </c>
      <c r="B207" s="2" t="s">
        <v>789</v>
      </c>
      <c r="C207" s="2" t="s">
        <v>789</v>
      </c>
      <c r="D207" s="2">
        <v>43.0</v>
      </c>
      <c r="E207" s="2">
        <v>6.0</v>
      </c>
      <c r="F207" s="2">
        <v>0.0</v>
      </c>
      <c r="H207" s="2">
        <v>0.0</v>
      </c>
      <c r="J207" s="3" t="s">
        <v>790</v>
      </c>
      <c r="K207" s="2" t="s">
        <v>791</v>
      </c>
      <c r="L207" s="2" t="s">
        <v>263</v>
      </c>
      <c r="U207" s="8" t="str">
        <f t="shared" si="1"/>
        <v>CALL InsertOrUpdateProducto('229','Codo 87°30 Hembra-Hembra corto pack 10 unidades','Codo 87°30 Hembra-Hembra corto pack 10 unidades','43','6','0','','0','','https://img.quodom.com.ar/producto/229.png','Z229','MEDIDAS','','','');</v>
      </c>
    </row>
    <row r="208">
      <c r="A208" s="2">
        <v>230.0</v>
      </c>
      <c r="B208" s="2" t="s">
        <v>792</v>
      </c>
      <c r="C208" s="2" t="s">
        <v>792</v>
      </c>
      <c r="D208" s="2">
        <v>43.0</v>
      </c>
      <c r="E208" s="2">
        <v>6.0</v>
      </c>
      <c r="F208" s="2">
        <v>0.0</v>
      </c>
      <c r="H208" s="2">
        <v>0.0</v>
      </c>
      <c r="J208" s="3" t="s">
        <v>793</v>
      </c>
      <c r="K208" s="2" t="s">
        <v>794</v>
      </c>
      <c r="L208" s="2" t="s">
        <v>263</v>
      </c>
      <c r="U208" s="8" t="str">
        <f t="shared" si="1"/>
        <v>CALL InsertOrUpdateProducto('230','Codo 87°30 Hembra-Hembra pack 10 unidades','Codo 87°30 Hembra-Hembra pack 10 unidades','43','6','0','','0','','https://img.quodom.com.ar/producto/230.png','Z230','MEDIDAS','','','');</v>
      </c>
    </row>
    <row r="209">
      <c r="A209" s="2">
        <v>231.0</v>
      </c>
      <c r="B209" s="2" t="s">
        <v>795</v>
      </c>
      <c r="C209" s="2" t="s">
        <v>795</v>
      </c>
      <c r="D209" s="2">
        <v>43.0</v>
      </c>
      <c r="E209" s="2">
        <v>6.0</v>
      </c>
      <c r="F209" s="2">
        <v>0.0</v>
      </c>
      <c r="H209" s="2">
        <v>0.0</v>
      </c>
      <c r="J209" s="3" t="s">
        <v>796</v>
      </c>
      <c r="K209" s="2" t="s">
        <v>797</v>
      </c>
      <c r="L209" s="2" t="s">
        <v>263</v>
      </c>
      <c r="U209" s="8" t="str">
        <f t="shared" si="1"/>
        <v>CALL InsertOrUpdateProducto('231','Codo 87°30 Macho-Hembra pack 10 unidades','Codo 87°30 Macho-Hembra pack 10 unidades','43','6','0','','0','','https://img.quodom.com.ar/producto/231.png','Z231','MEDIDAS','','','');</v>
      </c>
    </row>
    <row r="210">
      <c r="A210" s="2">
        <v>232.0</v>
      </c>
      <c r="B210" s="2" t="s">
        <v>798</v>
      </c>
      <c r="C210" s="2" t="s">
        <v>798</v>
      </c>
      <c r="D210" s="2">
        <v>43.0</v>
      </c>
      <c r="E210" s="2">
        <v>6.0</v>
      </c>
      <c r="F210" s="2">
        <v>0.0</v>
      </c>
      <c r="H210" s="2">
        <v>0.0</v>
      </c>
      <c r="J210" s="3" t="s">
        <v>799</v>
      </c>
      <c r="K210" s="2" t="s">
        <v>800</v>
      </c>
      <c r="L210" s="2" t="s">
        <v>263</v>
      </c>
      <c r="U210" s="8" t="str">
        <f t="shared" si="1"/>
        <v>CALL InsertOrUpdateProducto('232','Codo poliangular 0 a 45 Macho-Hembra pack 10 unidades','Codo poliangular 0 a 45 Macho-Hembra pack 10 unidades','43','6','0','','0','','https://img.quodom.com.ar/producto/232.png','Z232','MEDIDAS','','','');</v>
      </c>
    </row>
    <row r="211">
      <c r="A211" s="2">
        <v>233.0</v>
      </c>
      <c r="B211" s="2" t="s">
        <v>801</v>
      </c>
      <c r="C211" s="2" t="s">
        <v>801</v>
      </c>
      <c r="D211" s="2">
        <v>43.0</v>
      </c>
      <c r="E211" s="2">
        <v>6.0</v>
      </c>
      <c r="F211" s="2">
        <v>0.0</v>
      </c>
      <c r="H211" s="2">
        <v>0.0</v>
      </c>
      <c r="J211" s="3" t="s">
        <v>802</v>
      </c>
      <c r="K211" s="2" t="s">
        <v>803</v>
      </c>
      <c r="L211" s="2" t="s">
        <v>263</v>
      </c>
      <c r="U211" s="8" t="str">
        <f t="shared" si="1"/>
        <v>CALL InsertOrUpdateProducto('233','Cupla corrediza Hembra-Hembra pack 10 unidades','Cupla corrediza Hembra-Hembra pack 10 unidades','43','6','0','','0','','https://img.quodom.com.ar/producto/233.png','Z233','MEDIDAS','','','');</v>
      </c>
    </row>
    <row r="212">
      <c r="A212" s="2">
        <v>234.0</v>
      </c>
      <c r="B212" s="2" t="s">
        <v>804</v>
      </c>
      <c r="C212" s="2" t="s">
        <v>804</v>
      </c>
      <c r="D212" s="2">
        <v>43.0</v>
      </c>
      <c r="E212" s="2">
        <v>6.0</v>
      </c>
      <c r="F212" s="2">
        <v>0.0</v>
      </c>
      <c r="H212" s="2">
        <v>0.0</v>
      </c>
      <c r="J212" s="3" t="s">
        <v>805</v>
      </c>
      <c r="K212" s="2" t="s">
        <v>806</v>
      </c>
      <c r="L212" s="2" t="s">
        <v>263</v>
      </c>
      <c r="U212" s="8" t="str">
        <f t="shared" si="1"/>
        <v>CALL InsertOrUpdateProducto('234','Ramal 45° con reducción H-H pack 5 unidades','Ramal 45° con reducción H-H pack 5 unidades','43','6','0','','0','','https://img.quodom.com.ar/producto/234.png','Z234','MEDIDAS','','','');</v>
      </c>
    </row>
    <row r="213">
      <c r="A213" s="2">
        <v>235.0</v>
      </c>
      <c r="B213" s="2" t="s">
        <v>807</v>
      </c>
      <c r="C213" s="2" t="s">
        <v>807</v>
      </c>
      <c r="D213" s="2">
        <v>43.0</v>
      </c>
      <c r="E213" s="2">
        <v>6.0</v>
      </c>
      <c r="F213" s="2">
        <v>0.0</v>
      </c>
      <c r="H213" s="2">
        <v>0.0</v>
      </c>
      <c r="J213" s="3" t="s">
        <v>808</v>
      </c>
      <c r="K213" s="2" t="s">
        <v>809</v>
      </c>
      <c r="L213" s="2" t="s">
        <v>263</v>
      </c>
      <c r="U213" s="8" t="str">
        <f t="shared" si="1"/>
        <v>CALL InsertOrUpdateProducto('235','Ramal 45° con reducción M-H pack 5 unidades','Ramal 45° con reducción M-H pack 5 unidades','43','6','0','','0','','https://img.quodom.com.ar/producto/235.png','Z235','MEDIDAS','','','');</v>
      </c>
    </row>
    <row r="214">
      <c r="A214" s="2">
        <v>236.0</v>
      </c>
      <c r="B214" s="2" t="s">
        <v>810</v>
      </c>
      <c r="C214" s="2" t="s">
        <v>810</v>
      </c>
      <c r="D214" s="2">
        <v>43.0</v>
      </c>
      <c r="E214" s="2">
        <v>6.0</v>
      </c>
      <c r="F214" s="2">
        <v>0.0</v>
      </c>
      <c r="H214" s="2">
        <v>0.0</v>
      </c>
      <c r="J214" s="3" t="s">
        <v>811</v>
      </c>
      <c r="K214" s="2" t="s">
        <v>812</v>
      </c>
      <c r="L214" s="2" t="s">
        <v>263</v>
      </c>
      <c r="U214" s="8" t="str">
        <f t="shared" si="1"/>
        <v>CALL InsertOrUpdateProducto('236','Ramal 45° Hembra-Hembra pack 5 unidades','Ramal 45° Hembra-Hembra pack 5 unidades','43','6','0','','0','','https://img.quodom.com.ar/producto/236.png','Z236','MEDIDAS','','','');</v>
      </c>
    </row>
    <row r="215">
      <c r="A215" s="2">
        <v>237.0</v>
      </c>
      <c r="B215" s="2" t="s">
        <v>813</v>
      </c>
      <c r="C215" s="2" t="s">
        <v>813</v>
      </c>
      <c r="D215" s="2">
        <v>43.0</v>
      </c>
      <c r="E215" s="2">
        <v>6.0</v>
      </c>
      <c r="F215" s="2">
        <v>0.0</v>
      </c>
      <c r="H215" s="2">
        <v>0.0</v>
      </c>
      <c r="J215" s="3" t="s">
        <v>814</v>
      </c>
      <c r="K215" s="2" t="s">
        <v>815</v>
      </c>
      <c r="L215" s="2" t="s">
        <v>263</v>
      </c>
      <c r="U215" s="8" t="str">
        <f t="shared" si="1"/>
        <v>CALL InsertOrUpdateProducto('237','Ramal 45° Macho-Hembra pack 5 unidades','Ramal 45° Macho-Hembra pack 5 unidades','43','6','0','','0','','https://img.quodom.com.ar/producto/237.png','Z237','MEDIDAS','','','');</v>
      </c>
    </row>
    <row r="216">
      <c r="A216" s="2">
        <v>238.0</v>
      </c>
      <c r="B216" s="2" t="s">
        <v>816</v>
      </c>
      <c r="C216" s="2" t="s">
        <v>816</v>
      </c>
      <c r="D216" s="2">
        <v>43.0</v>
      </c>
      <c r="E216" s="2">
        <v>6.0</v>
      </c>
      <c r="F216" s="2">
        <v>0.0</v>
      </c>
      <c r="H216" s="2">
        <v>0.0</v>
      </c>
      <c r="J216" s="3" t="s">
        <v>817</v>
      </c>
      <c r="K216" s="2" t="s">
        <v>818</v>
      </c>
      <c r="L216" s="2" t="s">
        <v>263</v>
      </c>
      <c r="U216" s="8" t="str">
        <f t="shared" si="1"/>
        <v>CALL InsertOrUpdateProducto('238','Ramal 87°30 c/reducción M-H pack 5 unidades','Ramal 87°30 c/reducción M-H pack 5 unidades','43','6','0','','0','','https://img.quodom.com.ar/producto/238.png','Z238','MEDIDAS','','','');</v>
      </c>
    </row>
    <row r="217">
      <c r="A217" s="2">
        <v>239.0</v>
      </c>
      <c r="B217" s="2" t="s">
        <v>819</v>
      </c>
      <c r="C217" s="2" t="s">
        <v>819</v>
      </c>
      <c r="D217" s="2">
        <v>43.0</v>
      </c>
      <c r="E217" s="2">
        <v>6.0</v>
      </c>
      <c r="F217" s="2">
        <v>0.0</v>
      </c>
      <c r="H217" s="2">
        <v>0.0</v>
      </c>
      <c r="J217" s="3" t="s">
        <v>820</v>
      </c>
      <c r="K217" s="2" t="s">
        <v>821</v>
      </c>
      <c r="L217" s="2" t="s">
        <v>263</v>
      </c>
      <c r="U217" s="8" t="str">
        <f t="shared" si="1"/>
        <v>CALL InsertOrUpdateProducto('239','Ramal 87°30 c/ventilación M-H pack 5 unidades','Ramal 87°30 c/ventilación M-H pack 5 unidades','43','6','0','','0','','https://img.quodom.com.ar/producto/239.png','Z239','MEDIDAS','','','');</v>
      </c>
    </row>
    <row r="218">
      <c r="A218" s="2">
        <v>240.0</v>
      </c>
      <c r="B218" s="2" t="s">
        <v>822</v>
      </c>
      <c r="C218" s="2" t="s">
        <v>822</v>
      </c>
      <c r="D218" s="2">
        <v>43.0</v>
      </c>
      <c r="E218" s="2">
        <v>6.0</v>
      </c>
      <c r="F218" s="2">
        <v>0.0</v>
      </c>
      <c r="H218" s="2">
        <v>0.0</v>
      </c>
      <c r="J218" s="3" t="s">
        <v>823</v>
      </c>
      <c r="K218" s="2" t="s">
        <v>824</v>
      </c>
      <c r="L218" s="2" t="s">
        <v>263</v>
      </c>
      <c r="U218" s="8" t="str">
        <f t="shared" si="1"/>
        <v>CALL InsertOrUpdateProducto('240','Ramal 87°30 Hembra-Hembra pack 5 unidades','Ramal 87°30 Hembra-Hembra pack 5 unidades','43','6','0','','0','','https://img.quodom.com.ar/producto/240.png','Z240','MEDIDAS','','','');</v>
      </c>
    </row>
    <row r="219">
      <c r="A219" s="2">
        <v>241.0</v>
      </c>
      <c r="B219" s="2" t="s">
        <v>825</v>
      </c>
      <c r="C219" s="2" t="s">
        <v>825</v>
      </c>
      <c r="D219" s="2">
        <v>43.0</v>
      </c>
      <c r="E219" s="2">
        <v>6.0</v>
      </c>
      <c r="F219" s="2">
        <v>0.0</v>
      </c>
      <c r="H219" s="2">
        <v>0.0</v>
      </c>
      <c r="J219" s="3" t="s">
        <v>826</v>
      </c>
      <c r="K219" s="2" t="s">
        <v>827</v>
      </c>
      <c r="L219" s="2" t="s">
        <v>263</v>
      </c>
      <c r="U219" s="8" t="str">
        <f t="shared" si="1"/>
        <v>CALL InsertOrUpdateProducto('241','Ramal invertido Macho-Hembra pack 5 unidades','Ramal invertido Macho-Hembra pack 5 unidades','43','6','0','','0','','https://img.quodom.com.ar/producto/241.png','Z241','MEDIDAS','','','');</v>
      </c>
    </row>
    <row r="220">
      <c r="A220" s="2">
        <v>242.0</v>
      </c>
      <c r="B220" s="2" t="s">
        <v>828</v>
      </c>
      <c r="C220" s="2" t="s">
        <v>828</v>
      </c>
      <c r="D220" s="2">
        <v>43.0</v>
      </c>
      <c r="E220" s="2">
        <v>6.0</v>
      </c>
      <c r="F220" s="2">
        <v>0.0</v>
      </c>
      <c r="H220" s="2">
        <v>0.0</v>
      </c>
      <c r="J220" s="3" t="s">
        <v>829</v>
      </c>
      <c r="K220" s="2" t="s">
        <v>830</v>
      </c>
      <c r="L220" s="2" t="s">
        <v>263</v>
      </c>
      <c r="U220" s="8" t="str">
        <f t="shared" si="1"/>
        <v>CALL InsertOrUpdateProducto('242','Curva 87 30 c/base Macho-Hembra pack 12 unidades','Curva 87 30 c/base Macho-Hembra pack 12 unidades','43','6','0','','0','','https://img.quodom.com.ar/producto/242.png','Z242','MEDIDAS','','','');</v>
      </c>
    </row>
    <row r="221">
      <c r="A221" s="2">
        <v>243.0</v>
      </c>
      <c r="B221" s="2" t="s">
        <v>831</v>
      </c>
      <c r="C221" s="2" t="s">
        <v>831</v>
      </c>
      <c r="D221" s="2">
        <v>43.0</v>
      </c>
      <c r="E221" s="2">
        <v>6.0</v>
      </c>
      <c r="F221" s="2">
        <v>0.0</v>
      </c>
      <c r="H221" s="2">
        <v>0.0</v>
      </c>
      <c r="J221" s="3" t="s">
        <v>832</v>
      </c>
      <c r="K221" s="2" t="s">
        <v>833</v>
      </c>
      <c r="U221" s="8" t="str">
        <f t="shared" si="1"/>
        <v>CALL InsertOrUpdateProducto('243','Curva 87 30 Macho-Hembra pack','Curva 87 30 Macho-Hembra pack','43','6','0','','0','','https://img.quodom.com.ar/producto/243.png','Z243','','','','');</v>
      </c>
    </row>
    <row r="222">
      <c r="A222" s="2">
        <v>244.0</v>
      </c>
      <c r="B222" s="2" t="s">
        <v>834</v>
      </c>
      <c r="C222" s="2" t="s">
        <v>834</v>
      </c>
      <c r="D222" s="2">
        <v>43.0</v>
      </c>
      <c r="E222" s="2">
        <v>6.0</v>
      </c>
      <c r="F222" s="2">
        <v>0.0</v>
      </c>
      <c r="H222" s="2">
        <v>0.0</v>
      </c>
      <c r="J222" s="3" t="s">
        <v>835</v>
      </c>
      <c r="K222" s="2" t="s">
        <v>836</v>
      </c>
      <c r="L222" s="2" t="s">
        <v>263</v>
      </c>
      <c r="U222" s="8" t="str">
        <f t="shared" si="1"/>
        <v>CALL InsertOrUpdateProducto('244','Pileta de balcón pack 5 unidades','Pileta de balcón pack 5 unidades','43','6','0','','0','','https://img.quodom.com.ar/producto/244.png','Z244','MEDIDAS','','','');</v>
      </c>
    </row>
    <row r="223">
      <c r="A223" s="2">
        <v>245.0</v>
      </c>
      <c r="B223" s="2" t="s">
        <v>837</v>
      </c>
      <c r="C223" s="2" t="s">
        <v>837</v>
      </c>
      <c r="D223" s="2">
        <v>43.0</v>
      </c>
      <c r="E223" s="2">
        <v>6.0</v>
      </c>
      <c r="F223" s="2">
        <v>0.0</v>
      </c>
      <c r="H223" s="2">
        <v>0.0</v>
      </c>
      <c r="J223" s="3" t="s">
        <v>838</v>
      </c>
      <c r="K223" s="2" t="s">
        <v>839</v>
      </c>
      <c r="L223" s="2" t="s">
        <v>263</v>
      </c>
      <c r="U223" s="8" t="str">
        <f t="shared" si="1"/>
        <v>CALL InsertOrUpdateProducto('245','Pileta de patio pack 5 unidades','Pileta de patio pack 5 unidades','43','6','0','','0','','https://img.quodom.com.ar/producto/245.png','Z245','MEDIDAS','','','');</v>
      </c>
    </row>
    <row r="224">
      <c r="A224" s="2">
        <v>246.0</v>
      </c>
      <c r="B224" s="2" t="s">
        <v>840</v>
      </c>
      <c r="C224" s="2" t="s">
        <v>840</v>
      </c>
      <c r="D224" s="2">
        <v>44.0</v>
      </c>
      <c r="E224" s="2">
        <v>6.0</v>
      </c>
      <c r="F224" s="2">
        <v>0.0</v>
      </c>
      <c r="H224" s="2">
        <v>0.0</v>
      </c>
      <c r="J224" s="3" t="s">
        <v>841</v>
      </c>
      <c r="K224" s="2" t="s">
        <v>842</v>
      </c>
      <c r="L224" s="2" t="s">
        <v>843</v>
      </c>
      <c r="U224" s="8" t="str">
        <f t="shared" si="1"/>
        <v>CALL InsertOrUpdateProducto('246','Termofusora','Termofusora','44','6','0','','0','','https://img.quodom.com.ar/producto/246.png','Z246','VOLTAJE','','','');</v>
      </c>
    </row>
    <row r="225">
      <c r="A225" s="2">
        <v>247.0</v>
      </c>
      <c r="B225" s="2" t="s">
        <v>844</v>
      </c>
      <c r="C225" s="2" t="s">
        <v>844</v>
      </c>
      <c r="D225" s="2">
        <v>44.0</v>
      </c>
      <c r="E225" s="2">
        <v>6.0</v>
      </c>
      <c r="F225" s="2">
        <v>0.0</v>
      </c>
      <c r="H225" s="2">
        <v>0.0</v>
      </c>
      <c r="J225" s="3" t="s">
        <v>845</v>
      </c>
      <c r="K225" s="2" t="s">
        <v>846</v>
      </c>
      <c r="U225" s="8" t="str">
        <f t="shared" si="1"/>
        <v>CALL InsertOrUpdateProducto('247','Tijera corta caño PVC - Fusión','Tijera corta caño PVC - Fusión','44','6','0','','0','','https://img.quodom.com.ar/producto/247.png','Z247','','','','');</v>
      </c>
    </row>
    <row r="226">
      <c r="A226" s="2">
        <v>248.0</v>
      </c>
      <c r="B226" s="2" t="s">
        <v>847</v>
      </c>
      <c r="C226" s="2" t="s">
        <v>847</v>
      </c>
      <c r="D226" s="2">
        <v>44.0</v>
      </c>
      <c r="E226" s="2">
        <v>6.0</v>
      </c>
      <c r="F226" s="2">
        <v>0.0</v>
      </c>
      <c r="H226" s="2">
        <v>0.0</v>
      </c>
      <c r="J226" s="3" t="s">
        <v>848</v>
      </c>
      <c r="K226" s="2" t="s">
        <v>849</v>
      </c>
      <c r="L226" s="2" t="s">
        <v>263</v>
      </c>
      <c r="U226" s="8" t="str">
        <f t="shared" si="1"/>
        <v>CALL InsertOrUpdateProducto('248','Adhesivo para PVC','Adhesivo para PVC','44','6','0','','0','','https://img.quodom.com.ar/producto/248.png','Z248','MEDIDAS','','','');</v>
      </c>
    </row>
    <row r="227">
      <c r="A227" s="2">
        <v>249.0</v>
      </c>
      <c r="B227" s="2" t="s">
        <v>850</v>
      </c>
      <c r="C227" s="2" t="s">
        <v>850</v>
      </c>
      <c r="D227" s="2">
        <v>44.0</v>
      </c>
      <c r="E227" s="2">
        <v>6.0</v>
      </c>
      <c r="F227" s="2">
        <v>0.0</v>
      </c>
      <c r="H227" s="2">
        <v>0.0</v>
      </c>
      <c r="J227" s="3" t="s">
        <v>851</v>
      </c>
      <c r="K227" s="2" t="s">
        <v>852</v>
      </c>
      <c r="L227" s="2" t="s">
        <v>263</v>
      </c>
      <c r="U227" s="8" t="str">
        <f t="shared" si="1"/>
        <v>CALL InsertOrUpdateProducto('249','Teflón','Teflón','44','6','0','','0','','https://img.quodom.com.ar/producto/249.png','Z249','MEDIDAS','','','');</v>
      </c>
    </row>
    <row r="228">
      <c r="A228" s="2">
        <v>382.0</v>
      </c>
      <c r="B228" s="2" t="s">
        <v>853</v>
      </c>
      <c r="C228" s="2" t="s">
        <v>853</v>
      </c>
      <c r="D228" s="2">
        <v>54.0</v>
      </c>
      <c r="E228" s="2">
        <v>8.0</v>
      </c>
      <c r="F228" s="2">
        <v>0.0</v>
      </c>
      <c r="H228" s="2">
        <v>0.0</v>
      </c>
      <c r="J228" s="3" t="s">
        <v>854</v>
      </c>
      <c r="K228" s="2" t="s">
        <v>855</v>
      </c>
      <c r="U228" s="8" t="str">
        <f t="shared" si="1"/>
        <v>CALL InsertOrUpdateProducto('382','Pantalón de trabajo Hombre','Pantalón de trabajo Hombre','54','8','0','','0','','https://img.quodom.com.ar/producto/382.png','Z382','','','','');</v>
      </c>
    </row>
    <row r="229">
      <c r="A229" s="2">
        <v>383.0</v>
      </c>
      <c r="B229" s="2" t="s">
        <v>856</v>
      </c>
      <c r="C229" s="2" t="s">
        <v>856</v>
      </c>
      <c r="D229" s="2">
        <v>54.0</v>
      </c>
      <c r="E229" s="2">
        <v>8.0</v>
      </c>
      <c r="F229" s="2">
        <v>0.0</v>
      </c>
      <c r="H229" s="2">
        <v>0.0</v>
      </c>
      <c r="J229" s="3" t="s">
        <v>857</v>
      </c>
      <c r="K229" s="2" t="s">
        <v>858</v>
      </c>
      <c r="U229" s="8" t="str">
        <f t="shared" si="1"/>
        <v>CALL InsertOrUpdateProducto('383','Pantalón de trabajo Dama','Pantalón de trabajo Dama','54','8','0','','0','','https://img.quodom.com.ar/producto/383.png','Z383','','','','');</v>
      </c>
    </row>
    <row r="230">
      <c r="A230" s="2">
        <v>384.0</v>
      </c>
      <c r="B230" s="2" t="s">
        <v>859</v>
      </c>
      <c r="C230" s="2" t="s">
        <v>859</v>
      </c>
      <c r="D230" s="2">
        <v>54.0</v>
      </c>
      <c r="E230" s="2">
        <v>8.0</v>
      </c>
      <c r="F230" s="2">
        <v>0.0</v>
      </c>
      <c r="H230" s="2">
        <v>0.0</v>
      </c>
      <c r="J230" s="3" t="s">
        <v>860</v>
      </c>
      <c r="K230" s="2" t="s">
        <v>861</v>
      </c>
      <c r="U230" s="8" t="str">
        <f t="shared" si="1"/>
        <v>CALL InsertOrUpdateProducto('384','Pantalón tipo cargo','Pantalón tipo cargo','54','8','0','','0','','https://img.quodom.com.ar/producto/384.png','Z384','','','','');</v>
      </c>
    </row>
    <row r="231">
      <c r="A231" s="2">
        <v>385.0</v>
      </c>
      <c r="B231" s="2" t="s">
        <v>862</v>
      </c>
      <c r="C231" s="2" t="s">
        <v>862</v>
      </c>
      <c r="D231" s="2">
        <v>54.0</v>
      </c>
      <c r="E231" s="2">
        <v>8.0</v>
      </c>
      <c r="F231" s="2">
        <v>0.0</v>
      </c>
      <c r="H231" s="2">
        <v>0.0</v>
      </c>
      <c r="J231" s="3" t="s">
        <v>863</v>
      </c>
      <c r="K231" s="2" t="s">
        <v>864</v>
      </c>
      <c r="U231" s="8" t="str">
        <f t="shared" si="1"/>
        <v>CALL InsertOrUpdateProducto('385','Bombacha de campo','Bombacha de campo','54','8','0','','0','','https://img.quodom.com.ar/producto/385.png','Z385','','','','');</v>
      </c>
    </row>
    <row r="232">
      <c r="A232" s="2">
        <v>388.0</v>
      </c>
      <c r="B232" s="2" t="s">
        <v>865</v>
      </c>
      <c r="C232" s="2" t="s">
        <v>865</v>
      </c>
      <c r="D232" s="2">
        <v>54.0</v>
      </c>
      <c r="E232" s="2">
        <v>8.0</v>
      </c>
      <c r="F232" s="2">
        <v>0.0</v>
      </c>
      <c r="H232" s="2">
        <v>0.0</v>
      </c>
      <c r="J232" s="3" t="s">
        <v>866</v>
      </c>
      <c r="K232" s="2" t="s">
        <v>867</v>
      </c>
      <c r="U232" s="8" t="str">
        <f t="shared" si="1"/>
        <v>CALL InsertOrUpdateProducto('388','Bombacha de campo Dama','Bombacha de campo Dama','54','8','0','','0','','https://img.quodom.com.ar/producto/388.png','Z388','','','','');</v>
      </c>
    </row>
    <row r="233">
      <c r="A233" s="2">
        <v>391.0</v>
      </c>
      <c r="B233" s="2" t="s">
        <v>868</v>
      </c>
      <c r="C233" s="2" t="s">
        <v>868</v>
      </c>
      <c r="D233" s="2">
        <v>54.0</v>
      </c>
      <c r="E233" s="2">
        <v>8.0</v>
      </c>
      <c r="F233" s="2">
        <v>0.0</v>
      </c>
      <c r="H233" s="2">
        <v>0.0</v>
      </c>
      <c r="J233" s="3" t="s">
        <v>869</v>
      </c>
      <c r="K233" s="2" t="s">
        <v>870</v>
      </c>
      <c r="U233" s="8" t="str">
        <f t="shared" si="1"/>
        <v>CALL InsertOrUpdateProducto('391','Traje de lluvia','Traje de lluvia','54','8','0','','0','','https://img.quodom.com.ar/producto/391.png','Z391','','','','');</v>
      </c>
    </row>
    <row r="234">
      <c r="A234" s="2">
        <v>392.0</v>
      </c>
      <c r="B234" s="2" t="s">
        <v>871</v>
      </c>
      <c r="C234" s="2" t="s">
        <v>871</v>
      </c>
      <c r="D234" s="2">
        <v>54.0</v>
      </c>
      <c r="E234" s="2">
        <v>8.0</v>
      </c>
      <c r="F234" s="2">
        <v>0.0</v>
      </c>
      <c r="H234" s="2">
        <v>0.0</v>
      </c>
      <c r="J234" s="3" t="s">
        <v>872</v>
      </c>
      <c r="K234" s="2" t="s">
        <v>873</v>
      </c>
      <c r="U234" s="8" t="str">
        <f t="shared" si="1"/>
        <v>CALL InsertOrUpdateProducto('392','Capa de agua','Capa de agua','54','8','0','','0','','https://img.quodom.com.ar/producto/392.png','Z392','','','','');</v>
      </c>
    </row>
    <row r="235">
      <c r="A235" s="2">
        <v>393.0</v>
      </c>
      <c r="B235" s="2" t="s">
        <v>874</v>
      </c>
      <c r="C235" s="2" t="s">
        <v>874</v>
      </c>
      <c r="D235" s="2">
        <v>54.0</v>
      </c>
      <c r="E235" s="2">
        <v>8.0</v>
      </c>
      <c r="F235" s="2">
        <v>0.0</v>
      </c>
      <c r="H235" s="2">
        <v>0.0</v>
      </c>
      <c r="J235" s="3" t="s">
        <v>875</v>
      </c>
      <c r="K235" s="2" t="s">
        <v>876</v>
      </c>
      <c r="U235" s="8" t="str">
        <f t="shared" si="1"/>
        <v>CALL InsertOrUpdateProducto('393','Bermuda cargo','Bermuda cargo','54','8','0','','0','','https://img.quodom.com.ar/producto/393.png','Z393','','','','');</v>
      </c>
    </row>
    <row r="236">
      <c r="A236" s="2">
        <v>394.0</v>
      </c>
      <c r="B236" s="2" t="s">
        <v>877</v>
      </c>
      <c r="C236" s="2" t="s">
        <v>877</v>
      </c>
      <c r="D236" s="2">
        <v>54.0</v>
      </c>
      <c r="E236" s="2">
        <v>8.0</v>
      </c>
      <c r="F236" s="2">
        <v>0.0</v>
      </c>
      <c r="H236" s="2">
        <v>0.0</v>
      </c>
      <c r="J236" s="3" t="s">
        <v>878</v>
      </c>
      <c r="K236" s="2" t="s">
        <v>879</v>
      </c>
      <c r="U236" s="8" t="str">
        <f t="shared" si="1"/>
        <v>CALL InsertOrUpdateProducto('394','Camisa de trabajo','Camisa de trabajo','54','8','0','','0','','https://img.quodom.com.ar/producto/394.png','Z394','','','','');</v>
      </c>
    </row>
    <row r="237">
      <c r="A237" s="2">
        <v>401.0</v>
      </c>
      <c r="B237" s="2" t="s">
        <v>880</v>
      </c>
      <c r="C237" s="2" t="s">
        <v>880</v>
      </c>
      <c r="D237" s="2">
        <v>54.0</v>
      </c>
      <c r="E237" s="2">
        <v>8.0</v>
      </c>
      <c r="F237" s="2">
        <v>0.0</v>
      </c>
      <c r="H237" s="2">
        <v>0.0</v>
      </c>
      <c r="J237" s="3" t="s">
        <v>881</v>
      </c>
      <c r="K237" s="2" t="s">
        <v>882</v>
      </c>
      <c r="U237" s="8" t="str">
        <f t="shared" si="1"/>
        <v>CALL InsertOrUpdateProducto('401','Chaleco Reflectivo','Chaleco Reflectivo','54','8','0','','0','','https://img.quodom.com.ar/producto/401.png','Z401','','','','');</v>
      </c>
    </row>
    <row r="238">
      <c r="A238" s="2">
        <v>402.0</v>
      </c>
      <c r="B238" s="2" t="s">
        <v>883</v>
      </c>
      <c r="C238" s="2" t="s">
        <v>883</v>
      </c>
      <c r="D238" s="2">
        <v>54.0</v>
      </c>
      <c r="E238" s="2">
        <v>8.0</v>
      </c>
      <c r="F238" s="2">
        <v>0.0</v>
      </c>
      <c r="H238" s="2">
        <v>0.0</v>
      </c>
      <c r="J238" s="3" t="s">
        <v>884</v>
      </c>
      <c r="K238" s="2" t="s">
        <v>885</v>
      </c>
      <c r="U238" s="8" t="str">
        <f t="shared" si="1"/>
        <v>CALL InsertOrUpdateProducto('402','Mameluco','Mameluco','54','8','0','','0','','https://img.quodom.com.ar/producto/402.png','Z402','','','','');</v>
      </c>
    </row>
    <row r="239">
      <c r="A239" s="2">
        <v>403.0</v>
      </c>
      <c r="B239" s="2" t="s">
        <v>886</v>
      </c>
      <c r="C239" s="2" t="s">
        <v>886</v>
      </c>
      <c r="D239" s="2">
        <v>54.0</v>
      </c>
      <c r="E239" s="2">
        <v>8.0</v>
      </c>
      <c r="F239" s="2">
        <v>0.0</v>
      </c>
      <c r="H239" s="2">
        <v>0.0</v>
      </c>
      <c r="J239" s="3" t="s">
        <v>887</v>
      </c>
      <c r="K239" s="2" t="s">
        <v>888</v>
      </c>
      <c r="U239" s="8" t="str">
        <f t="shared" si="1"/>
        <v>CALL InsertOrUpdateProducto('403','Ambo Cirujía','Ambo Cirujía','54','8','0','','0','','https://img.quodom.com.ar/producto/403.png','Z403','','','','');</v>
      </c>
    </row>
    <row r="240">
      <c r="A240" s="2">
        <v>404.0</v>
      </c>
      <c r="B240" s="2" t="s">
        <v>889</v>
      </c>
      <c r="C240" s="2" t="s">
        <v>889</v>
      </c>
      <c r="D240" s="2">
        <v>54.0</v>
      </c>
      <c r="E240" s="2">
        <v>8.0</v>
      </c>
      <c r="F240" s="2">
        <v>0.0</v>
      </c>
      <c r="H240" s="2">
        <v>0.0</v>
      </c>
      <c r="J240" s="3" t="s">
        <v>890</v>
      </c>
      <c r="K240" s="2" t="s">
        <v>891</v>
      </c>
      <c r="U240" s="8" t="str">
        <f t="shared" si="1"/>
        <v>CALL InsertOrUpdateProducto('404','Delantal PVC Blanco','Delantal PVC Blanco','54','8','0','','0','','https://img.quodom.com.ar/producto/404.png','Z404','','','','');</v>
      </c>
    </row>
    <row r="241">
      <c r="A241" s="2">
        <v>405.0</v>
      </c>
      <c r="B241" s="2" t="s">
        <v>892</v>
      </c>
      <c r="C241" s="2" t="s">
        <v>892</v>
      </c>
      <c r="D241" s="2">
        <v>54.0</v>
      </c>
      <c r="E241" s="2">
        <v>8.0</v>
      </c>
      <c r="F241" s="2">
        <v>0.0</v>
      </c>
      <c r="H241" s="2">
        <v>0.0</v>
      </c>
      <c r="J241" s="3" t="s">
        <v>893</v>
      </c>
      <c r="K241" s="2" t="s">
        <v>894</v>
      </c>
      <c r="U241" s="8" t="str">
        <f t="shared" si="1"/>
        <v>CALL InsertOrUpdateProducto('405','Overol de protección (Tyvek) Blanco','Overol de protección (Tyvek) Blanco','54','8','0','','0','','https://img.quodom.com.ar/producto/405.png','Z405','','','','');</v>
      </c>
    </row>
    <row r="242">
      <c r="A242" s="2">
        <v>406.0</v>
      </c>
      <c r="B242" s="2" t="s">
        <v>895</v>
      </c>
      <c r="C242" s="2" t="s">
        <v>895</v>
      </c>
      <c r="D242" s="2">
        <v>54.0</v>
      </c>
      <c r="E242" s="2">
        <v>8.0</v>
      </c>
      <c r="F242" s="2">
        <v>0.0</v>
      </c>
      <c r="H242" s="2">
        <v>0.0</v>
      </c>
      <c r="J242" s="3" t="s">
        <v>896</v>
      </c>
      <c r="K242" s="2" t="s">
        <v>897</v>
      </c>
      <c r="U242" s="8" t="str">
        <f t="shared" si="1"/>
        <v>CALL InsertOrUpdateProducto('406','Guardapolvo','Guardapolvo','54','8','0','','0','','https://img.quodom.com.ar/producto/406.png','Z406','','','','');</v>
      </c>
    </row>
    <row r="243">
      <c r="A243" s="2">
        <v>407.0</v>
      </c>
      <c r="B243" s="2" t="s">
        <v>898</v>
      </c>
      <c r="C243" s="2" t="s">
        <v>898</v>
      </c>
      <c r="D243" s="2">
        <v>54.0</v>
      </c>
      <c r="E243" s="2">
        <v>8.0</v>
      </c>
      <c r="F243" s="2">
        <v>0.0</v>
      </c>
      <c r="H243" s="2">
        <v>0.0</v>
      </c>
      <c r="J243" s="3" t="s">
        <v>899</v>
      </c>
      <c r="K243" s="2" t="s">
        <v>900</v>
      </c>
      <c r="U243" s="8" t="str">
        <f t="shared" si="1"/>
        <v>CALL InsertOrUpdateProducto('407','Bota de lluvia','Bota de lluvia','54','8','0','','0','','https://img.quodom.com.ar/producto/407.png','Z407','','','','');</v>
      </c>
    </row>
    <row r="244">
      <c r="A244" s="2">
        <v>408.0</v>
      </c>
      <c r="B244" s="2" t="s">
        <v>901</v>
      </c>
      <c r="C244" s="2" t="s">
        <v>901</v>
      </c>
      <c r="D244" s="2">
        <v>54.0</v>
      </c>
      <c r="E244" s="2">
        <v>8.0</v>
      </c>
      <c r="F244" s="2">
        <v>0.0</v>
      </c>
      <c r="H244" s="2">
        <v>0.0</v>
      </c>
      <c r="J244" s="3" t="s">
        <v>902</v>
      </c>
      <c r="K244" s="2" t="s">
        <v>903</v>
      </c>
      <c r="U244" s="8" t="str">
        <f t="shared" si="1"/>
        <v>CALL InsertOrUpdateProducto('408','Bota de lluvia de seguridad','Bota de lluvia de seguridad','54','8','0','','0','','https://img.quodom.com.ar/producto/408.png','Z408','','','','');</v>
      </c>
    </row>
    <row r="245">
      <c r="A245" s="2">
        <v>409.0</v>
      </c>
      <c r="B245" s="2" t="s">
        <v>904</v>
      </c>
      <c r="C245" s="2" t="s">
        <v>904</v>
      </c>
      <c r="D245" s="2">
        <v>54.0</v>
      </c>
      <c r="E245" s="2">
        <v>8.0</v>
      </c>
      <c r="F245" s="2">
        <v>0.0</v>
      </c>
      <c r="H245" s="2">
        <v>0.0</v>
      </c>
      <c r="J245" s="3" t="s">
        <v>905</v>
      </c>
      <c r="K245" s="2" t="s">
        <v>906</v>
      </c>
      <c r="U245" s="8" t="str">
        <f t="shared" si="1"/>
        <v>CALL InsertOrUpdateProducto('409','Botín de seguridad','Botín de seguridad','54','8','0','','0','','https://img.quodom.com.ar/producto/409.png','Z409','','','','');</v>
      </c>
    </row>
    <row r="246">
      <c r="A246" s="2">
        <v>411.0</v>
      </c>
      <c r="B246" s="2" t="s">
        <v>907</v>
      </c>
      <c r="C246" s="2" t="s">
        <v>907</v>
      </c>
      <c r="D246" s="2">
        <v>54.0</v>
      </c>
      <c r="E246" s="2">
        <v>8.0</v>
      </c>
      <c r="F246" s="2">
        <v>0.0</v>
      </c>
      <c r="H246" s="2">
        <v>0.0</v>
      </c>
      <c r="J246" s="3" t="s">
        <v>908</v>
      </c>
      <c r="K246" s="2" t="s">
        <v>909</v>
      </c>
      <c r="U246" s="8" t="str">
        <f t="shared" si="1"/>
        <v>CALL InsertOrUpdateProducto('411','Zapatilla de seguridad','Zapatilla de seguridad','54','8','0','','0','','https://img.quodom.com.ar/producto/411.png','Z411','','','','');</v>
      </c>
    </row>
    <row r="247">
      <c r="A247" s="2">
        <v>412.0</v>
      </c>
      <c r="B247" s="2" t="s">
        <v>910</v>
      </c>
      <c r="C247" s="2" t="s">
        <v>910</v>
      </c>
      <c r="D247" s="2">
        <v>55.0</v>
      </c>
      <c r="E247" s="2">
        <v>8.0</v>
      </c>
      <c r="F247" s="2">
        <v>0.0</v>
      </c>
      <c r="H247" s="2">
        <v>0.0</v>
      </c>
      <c r="J247" s="3" t="s">
        <v>911</v>
      </c>
      <c r="K247" s="2" t="s">
        <v>912</v>
      </c>
      <c r="U247" s="8" t="str">
        <f t="shared" si="1"/>
        <v>CALL InsertOrUpdateProducto('412','Tapón endoaural por 25 unidades','Tapón endoaural por 25 unidades','55','8','0','','0','','https://img.quodom.com.ar/producto/412.png','Z412','','','','');</v>
      </c>
    </row>
    <row r="248">
      <c r="A248" s="2">
        <v>414.0</v>
      </c>
      <c r="B248" s="2" t="s">
        <v>913</v>
      </c>
      <c r="C248" s="2" t="s">
        <v>913</v>
      </c>
      <c r="D248" s="2">
        <v>55.0</v>
      </c>
      <c r="E248" s="2">
        <v>8.0</v>
      </c>
      <c r="F248" s="2">
        <v>0.0</v>
      </c>
      <c r="H248" s="2">
        <v>0.0</v>
      </c>
      <c r="J248" s="3" t="s">
        <v>914</v>
      </c>
      <c r="K248" s="2" t="s">
        <v>915</v>
      </c>
      <c r="U248" s="8" t="str">
        <f t="shared" si="1"/>
        <v>CALL InsertOrUpdateProducto('414','Protector auditivo externo','Protector auditivo externo','55','8','0','','0','','https://img.quodom.com.ar/producto/414.png','Z414','','','','');</v>
      </c>
    </row>
    <row r="249">
      <c r="A249" s="2">
        <v>415.0</v>
      </c>
      <c r="B249" s="2" t="s">
        <v>916</v>
      </c>
      <c r="C249" s="2" t="s">
        <v>916</v>
      </c>
      <c r="D249" s="2">
        <v>55.0</v>
      </c>
      <c r="E249" s="2">
        <v>8.0</v>
      </c>
      <c r="F249" s="2">
        <v>0.0</v>
      </c>
      <c r="H249" s="2">
        <v>0.0</v>
      </c>
      <c r="J249" s="3" t="s">
        <v>917</v>
      </c>
      <c r="K249" s="2" t="s">
        <v>918</v>
      </c>
      <c r="U249" s="8" t="str">
        <f t="shared" si="1"/>
        <v>CALL InsertOrUpdateProducto('415','Protector auditivo para casco','Protector auditivo para casco','55','8','0','','0','','https://img.quodom.com.ar/producto/415.png','Z415','','','','');</v>
      </c>
    </row>
    <row r="250">
      <c r="A250" s="2">
        <v>416.0</v>
      </c>
      <c r="B250" s="2" t="s">
        <v>919</v>
      </c>
      <c r="C250" s="2" t="s">
        <v>919</v>
      </c>
      <c r="D250" s="2">
        <v>55.0</v>
      </c>
      <c r="E250" s="2">
        <v>8.0</v>
      </c>
      <c r="F250" s="2">
        <v>0.0</v>
      </c>
      <c r="H250" s="2">
        <v>0.0</v>
      </c>
      <c r="J250" s="3" t="s">
        <v>920</v>
      </c>
      <c r="K250" s="2" t="s">
        <v>921</v>
      </c>
      <c r="U250" s="8" t="str">
        <f t="shared" si="1"/>
        <v>CALL InsertOrUpdateProducto('416','Lentes de seguridad por 12 unidades','Lentes de seguridad por 12 unidades','55','8','0','','0','','https://img.quodom.com.ar/producto/416.png','Z416','','','','');</v>
      </c>
    </row>
    <row r="251">
      <c r="A251" s="2">
        <v>418.0</v>
      </c>
      <c r="B251" s="2" t="s">
        <v>922</v>
      </c>
      <c r="C251" s="2" t="s">
        <v>922</v>
      </c>
      <c r="D251" s="2">
        <v>55.0</v>
      </c>
      <c r="E251" s="2">
        <v>8.0</v>
      </c>
      <c r="F251" s="2">
        <v>0.0</v>
      </c>
      <c r="H251" s="2">
        <v>0.0</v>
      </c>
      <c r="J251" s="3" t="s">
        <v>923</v>
      </c>
      <c r="K251" s="2" t="s">
        <v>924</v>
      </c>
      <c r="U251" s="8" t="str">
        <f t="shared" si="1"/>
        <v>CALL InsertOrUpdateProducto('418','Antiparras','Antiparras','55','8','0','','0','','https://img.quodom.com.ar/producto/418.png','Z418','','','','');</v>
      </c>
    </row>
    <row r="252">
      <c r="A252" s="2">
        <v>421.0</v>
      </c>
      <c r="B252" s="2" t="s">
        <v>925</v>
      </c>
      <c r="C252" s="2" t="s">
        <v>926</v>
      </c>
      <c r="D252" s="2">
        <v>56.0</v>
      </c>
      <c r="E252" s="2">
        <v>8.0</v>
      </c>
      <c r="F252" s="2">
        <v>0.0</v>
      </c>
      <c r="H252" s="2">
        <v>0.0</v>
      </c>
      <c r="J252" s="3" t="s">
        <v>927</v>
      </c>
      <c r="K252" s="2" t="s">
        <v>928</v>
      </c>
      <c r="U252" s="8" t="str">
        <f t="shared" si="1"/>
        <v>CALL InsertOrUpdateProducto('421','Casco con arnes a cremallera por 5 unidades','Casco con arnes a cremallera','56','8','0','','0','','https://img.quodom.com.ar/producto/421.png','Z421','','','','');</v>
      </c>
    </row>
    <row r="253">
      <c r="A253" s="2">
        <v>422.0</v>
      </c>
      <c r="B253" s="2" t="s">
        <v>929</v>
      </c>
      <c r="C253" s="2" t="s">
        <v>930</v>
      </c>
      <c r="D253" s="2">
        <v>56.0</v>
      </c>
      <c r="E253" s="2">
        <v>8.0</v>
      </c>
      <c r="F253" s="2">
        <v>0.0</v>
      </c>
      <c r="H253" s="2">
        <v>0.0</v>
      </c>
      <c r="J253" s="3" t="s">
        <v>931</v>
      </c>
      <c r="K253" s="2" t="s">
        <v>932</v>
      </c>
      <c r="U253" s="8" t="str">
        <f t="shared" si="1"/>
        <v>CALL InsertOrUpdateProducto('422','Protector facial Burbuja Transp por 5 unidades','Protector facial Burbuja Transp','56','8','0','','0','','https://img.quodom.com.ar/producto/422.png','Z422','','','','');</v>
      </c>
    </row>
    <row r="254">
      <c r="A254" s="2">
        <v>423.0</v>
      </c>
      <c r="B254" s="2" t="s">
        <v>933</v>
      </c>
      <c r="C254" s="2" t="s">
        <v>933</v>
      </c>
      <c r="D254" s="2">
        <v>56.0</v>
      </c>
      <c r="E254" s="2">
        <v>8.0</v>
      </c>
      <c r="F254" s="2">
        <v>0.0</v>
      </c>
      <c r="H254" s="2">
        <v>0.0</v>
      </c>
      <c r="J254" s="3" t="s">
        <v>934</v>
      </c>
      <c r="K254" s="2" t="s">
        <v>935</v>
      </c>
      <c r="U254" s="8" t="str">
        <f t="shared" si="1"/>
        <v>CALL InsertOrUpdateProducto('423','Máscara para soldar','Máscara para soldar','56','8','0','','0','','https://img.quodom.com.ar/producto/423.png','Z423','','','','');</v>
      </c>
    </row>
    <row r="255">
      <c r="A255" s="2">
        <v>426.0</v>
      </c>
      <c r="B255" s="2" t="s">
        <v>936</v>
      </c>
      <c r="C255" s="2" t="s">
        <v>936</v>
      </c>
      <c r="D255" s="2">
        <v>56.0</v>
      </c>
      <c r="E255" s="2">
        <v>8.0</v>
      </c>
      <c r="F255" s="2">
        <v>0.0</v>
      </c>
      <c r="H255" s="2">
        <v>0.0</v>
      </c>
      <c r="J255" s="3" t="s">
        <v>937</v>
      </c>
      <c r="K255" s="2" t="s">
        <v>938</v>
      </c>
      <c r="U255" s="8" t="str">
        <f t="shared" si="1"/>
        <v>CALL InsertOrUpdateProducto('426','Linterna para casco','Linterna para casco','56','8','0','','0','','https://img.quodom.com.ar/producto/426.png','Z426','','','','');</v>
      </c>
    </row>
    <row r="256">
      <c r="A256" s="2">
        <v>428.0</v>
      </c>
      <c r="B256" s="2" t="s">
        <v>939</v>
      </c>
      <c r="C256" s="2" t="s">
        <v>940</v>
      </c>
      <c r="D256" s="2">
        <v>57.0</v>
      </c>
      <c r="E256" s="2">
        <v>8.0</v>
      </c>
      <c r="F256" s="2">
        <v>0.0</v>
      </c>
      <c r="H256" s="2">
        <v>0.0</v>
      </c>
      <c r="J256" s="3" t="s">
        <v>941</v>
      </c>
      <c r="K256" s="2" t="s">
        <v>942</v>
      </c>
      <c r="U256" s="8" t="str">
        <f t="shared" si="1"/>
        <v>CALL InsertOrUpdateProducto('428','Mascarilla desechable por 50 unidades','Mascarilla desechable','57','8','0','','0','','https://img.quodom.com.ar/producto/428.png','Z428','','','','');</v>
      </c>
    </row>
    <row r="257">
      <c r="A257" s="2">
        <v>430.0</v>
      </c>
      <c r="B257" s="2" t="s">
        <v>943</v>
      </c>
      <c r="C257" s="2" t="s">
        <v>943</v>
      </c>
      <c r="D257" s="2">
        <v>57.0</v>
      </c>
      <c r="E257" s="2">
        <v>8.0</v>
      </c>
      <c r="F257" s="2">
        <v>0.0</v>
      </c>
      <c r="H257" s="2">
        <v>0.0</v>
      </c>
      <c r="J257" s="3" t="s">
        <v>944</v>
      </c>
      <c r="K257" s="2" t="s">
        <v>945</v>
      </c>
      <c r="U257" s="8" t="str">
        <f t="shared" si="1"/>
        <v>CALL InsertOrUpdateProducto('430','Mascarilla KN95 por 10 unidades','Mascarilla KN95 por 10 unidades','57','8','0','','0','','https://img.quodom.com.ar/producto/430.png','Z430','','','','');</v>
      </c>
    </row>
    <row r="258">
      <c r="A258" s="2">
        <v>431.0</v>
      </c>
      <c r="B258" s="2" t="s">
        <v>946</v>
      </c>
      <c r="C258" s="2" t="s">
        <v>946</v>
      </c>
      <c r="D258" s="2">
        <v>57.0</v>
      </c>
      <c r="E258" s="2">
        <v>8.0</v>
      </c>
      <c r="F258" s="2">
        <v>0.0</v>
      </c>
      <c r="H258" s="2">
        <v>0.0</v>
      </c>
      <c r="J258" s="3" t="s">
        <v>947</v>
      </c>
      <c r="K258" s="2" t="s">
        <v>948</v>
      </c>
      <c r="U258" s="8" t="str">
        <f t="shared" si="1"/>
        <v>CALL InsertOrUpdateProducto('431','Mascarilla N95 por 10 unidades','Mascarilla N95 por 10 unidades','57','8','0','','0','','https://img.quodom.com.ar/producto/431.png','Z431','','','','');</v>
      </c>
    </row>
    <row r="259">
      <c r="A259" s="2">
        <v>432.0</v>
      </c>
      <c r="B259" s="2" t="s">
        <v>949</v>
      </c>
      <c r="C259" s="2" t="s">
        <v>949</v>
      </c>
      <c r="D259" s="2">
        <v>57.0</v>
      </c>
      <c r="E259" s="2">
        <v>8.0</v>
      </c>
      <c r="F259" s="2">
        <v>0.0</v>
      </c>
      <c r="H259" s="2">
        <v>0.0</v>
      </c>
      <c r="J259" s="3" t="s">
        <v>950</v>
      </c>
      <c r="K259" s="2" t="s">
        <v>951</v>
      </c>
      <c r="U259" s="8" t="str">
        <f t="shared" si="1"/>
        <v>CALL InsertOrUpdateProducto('432','Mascarilla N95 con válvula por 10 unidades','Mascarilla N95 con válvula por 10 unidades','57','8','0','','0','','https://img.quodom.com.ar/producto/432.png','Z432','','','','');</v>
      </c>
    </row>
    <row r="260">
      <c r="A260" s="2">
        <v>433.0</v>
      </c>
      <c r="B260" s="2" t="s">
        <v>952</v>
      </c>
      <c r="C260" s="2" t="s">
        <v>952</v>
      </c>
      <c r="D260" s="2">
        <v>57.0</v>
      </c>
      <c r="E260" s="2">
        <v>8.0</v>
      </c>
      <c r="F260" s="2">
        <v>0.0</v>
      </c>
      <c r="H260" s="2">
        <v>0.0</v>
      </c>
      <c r="J260" s="3" t="s">
        <v>953</v>
      </c>
      <c r="K260" s="2" t="s">
        <v>954</v>
      </c>
      <c r="U260" s="8" t="str">
        <f t="shared" si="1"/>
        <v>CALL InsertOrUpdateProducto('433','Respirador cara completa','Respirador cara completa','57','8','0','','0','','https://img.quodom.com.ar/producto/433.png','Z433','','','','');</v>
      </c>
    </row>
    <row r="261">
      <c r="A261" s="2">
        <v>434.0</v>
      </c>
      <c r="B261" s="2" t="s">
        <v>955</v>
      </c>
      <c r="C261" s="2" t="s">
        <v>955</v>
      </c>
      <c r="D261" s="2">
        <v>57.0</v>
      </c>
      <c r="E261" s="2">
        <v>8.0</v>
      </c>
      <c r="F261" s="2">
        <v>0.0</v>
      </c>
      <c r="H261" s="2">
        <v>0.0</v>
      </c>
      <c r="J261" s="3" t="s">
        <v>956</v>
      </c>
      <c r="K261" s="2" t="s">
        <v>957</v>
      </c>
      <c r="U261" s="8" t="str">
        <f t="shared" si="1"/>
        <v>CALL InsertOrUpdateProducto('434','Respirador media cara','Respirador media cara','57','8','0','','0','','https://img.quodom.com.ar/producto/434.png','Z434','','','','');</v>
      </c>
    </row>
    <row r="262">
      <c r="A262" s="2">
        <v>436.0</v>
      </c>
      <c r="B262" s="2" t="s">
        <v>958</v>
      </c>
      <c r="C262" s="2" t="s">
        <v>959</v>
      </c>
      <c r="D262" s="2">
        <v>57.0</v>
      </c>
      <c r="E262" s="2">
        <v>8.0</v>
      </c>
      <c r="F262" s="2">
        <v>0.0</v>
      </c>
      <c r="H262" s="2">
        <v>0.0</v>
      </c>
      <c r="J262" s="3" t="s">
        <v>960</v>
      </c>
      <c r="K262" s="2" t="s">
        <v>961</v>
      </c>
      <c r="U262" s="8" t="str">
        <f t="shared" si="1"/>
        <v>CALL InsertOrUpdateProducto('436','Prefiltros para respirador por 10 unidades','Prefiltros para respirador','57','8','0','','0','','https://img.quodom.com.ar/producto/436.png','Z436','','','','');</v>
      </c>
    </row>
    <row r="263">
      <c r="A263" s="2">
        <v>438.0</v>
      </c>
      <c r="B263" s="2" t="s">
        <v>962</v>
      </c>
      <c r="C263" s="2" t="s">
        <v>962</v>
      </c>
      <c r="D263" s="2">
        <v>57.0</v>
      </c>
      <c r="E263" s="2">
        <v>8.0</v>
      </c>
      <c r="F263" s="2">
        <v>0.0</v>
      </c>
      <c r="H263" s="2">
        <v>0.0</v>
      </c>
      <c r="J263" s="3" t="s">
        <v>963</v>
      </c>
      <c r="K263" s="2" t="s">
        <v>964</v>
      </c>
      <c r="U263" s="8" t="str">
        <f t="shared" si="1"/>
        <v>CALL InsertOrUpdateProducto('438','Cartuchos para respirador','Cartuchos para respirador','57','8','0','','0','','https://img.quodom.com.ar/producto/438.png','Z438','','','','');</v>
      </c>
    </row>
    <row r="264">
      <c r="A264" s="2">
        <v>439.0</v>
      </c>
      <c r="B264" s="2" t="s">
        <v>965</v>
      </c>
      <c r="C264" s="2" t="s">
        <v>965</v>
      </c>
      <c r="D264" s="2">
        <v>57.0</v>
      </c>
      <c r="E264" s="2">
        <v>8.0</v>
      </c>
      <c r="F264" s="2">
        <v>0.0</v>
      </c>
      <c r="H264" s="2">
        <v>0.0</v>
      </c>
      <c r="J264" s="3" t="s">
        <v>966</v>
      </c>
      <c r="K264" s="2" t="s">
        <v>967</v>
      </c>
      <c r="U264" s="8" t="str">
        <f t="shared" si="1"/>
        <v>CALL InsertOrUpdateProducto('439','Prefiltros para respirador media cara','Prefiltros para respirador media cara','57','8','0','','0','','https://img.quodom.com.ar/producto/439.png','Z439','','','','');</v>
      </c>
    </row>
    <row r="265">
      <c r="A265" s="2">
        <v>441.0</v>
      </c>
      <c r="B265" s="2" t="s">
        <v>968</v>
      </c>
      <c r="C265" s="2" t="s">
        <v>968</v>
      </c>
      <c r="D265" s="2">
        <v>58.0</v>
      </c>
      <c r="E265" s="2">
        <v>8.0</v>
      </c>
      <c r="F265" s="2">
        <v>0.0</v>
      </c>
      <c r="H265" s="2">
        <v>0.0</v>
      </c>
      <c r="J265" s="3" t="s">
        <v>969</v>
      </c>
      <c r="K265" s="2" t="s">
        <v>970</v>
      </c>
      <c r="U265" s="8" t="str">
        <f t="shared" si="1"/>
        <v>CALL InsertOrUpdateProducto('441','Guantes moteados por 5 pares','Guantes moteados por 5 pares','58','8','0','','0','','https://img.quodom.com.ar/producto/441.png','Z441','','','','');</v>
      </c>
    </row>
    <row r="266">
      <c r="A266" s="2">
        <v>442.0</v>
      </c>
      <c r="B266" s="2" t="s">
        <v>971</v>
      </c>
      <c r="C266" s="2" t="s">
        <v>971</v>
      </c>
      <c r="D266" s="2">
        <v>58.0</v>
      </c>
      <c r="E266" s="2">
        <v>8.0</v>
      </c>
      <c r="F266" s="2">
        <v>0.0</v>
      </c>
      <c r="H266" s="2">
        <v>0.0</v>
      </c>
      <c r="J266" s="3" t="s">
        <v>972</v>
      </c>
      <c r="K266" s="2" t="s">
        <v>973</v>
      </c>
      <c r="U266" s="8" t="str">
        <f t="shared" si="1"/>
        <v>CALL InsertOrUpdateProducto('442','Guantes Vaqueta','Guantes Vaqueta','58','8','0','','0','','https://img.quodom.com.ar/producto/442.png','Z442','','','','');</v>
      </c>
    </row>
    <row r="267">
      <c r="A267" s="2">
        <v>443.0</v>
      </c>
      <c r="B267" s="2" t="s">
        <v>974</v>
      </c>
      <c r="C267" s="2" t="s">
        <v>974</v>
      </c>
      <c r="D267" s="2">
        <v>58.0</v>
      </c>
      <c r="E267" s="2">
        <v>8.0</v>
      </c>
      <c r="F267" s="2">
        <v>0.0</v>
      </c>
      <c r="H267" s="2">
        <v>0.0</v>
      </c>
      <c r="J267" s="3" t="s">
        <v>975</v>
      </c>
      <c r="K267" s="2" t="s">
        <v>976</v>
      </c>
      <c r="U267" s="8" t="str">
        <f t="shared" si="1"/>
        <v>CALL InsertOrUpdateProducto('443','Guantes nitrilo revestido por 12 unidades','Guantes nitrilo revestido por 12 unidades','58','8','0','','0','','https://img.quodom.com.ar/producto/443.png','Z443','','','','');</v>
      </c>
    </row>
    <row r="268">
      <c r="A268" s="2">
        <v>444.0</v>
      </c>
      <c r="B268" s="2" t="s">
        <v>977</v>
      </c>
      <c r="C268" s="2" t="s">
        <v>977</v>
      </c>
      <c r="D268" s="2">
        <v>58.0</v>
      </c>
      <c r="E268" s="2">
        <v>8.0</v>
      </c>
      <c r="F268" s="2">
        <v>0.0</v>
      </c>
      <c r="H268" s="2">
        <v>0.0</v>
      </c>
      <c r="J268" s="3" t="s">
        <v>978</v>
      </c>
      <c r="K268" s="2" t="s">
        <v>979</v>
      </c>
      <c r="U268" s="8" t="str">
        <f t="shared" si="1"/>
        <v>CALL InsertOrUpdateProducto('444','Guantes de nitrilo descartables por 100 unidades','Guantes de nitrilo descartables por 100 unidades','58','8','0','','0','','https://img.quodom.com.ar/producto/444.png','Z444','','','','');</v>
      </c>
    </row>
    <row r="269">
      <c r="A269" s="2">
        <v>445.0</v>
      </c>
      <c r="B269" s="2" t="s">
        <v>980</v>
      </c>
      <c r="C269" s="2" t="s">
        <v>980</v>
      </c>
      <c r="D269" s="2">
        <v>58.0</v>
      </c>
      <c r="E269" s="2">
        <v>8.0</v>
      </c>
      <c r="F269" s="2">
        <v>0.0</v>
      </c>
      <c r="H269" s="2">
        <v>0.0</v>
      </c>
      <c r="J269" s="3" t="s">
        <v>981</v>
      </c>
      <c r="K269" s="2" t="s">
        <v>982</v>
      </c>
      <c r="U269" s="8" t="str">
        <f t="shared" si="1"/>
        <v>CALL InsertOrUpdateProducto('445','Guantes de latex por 100 unidades','Guantes de latex por 100 unidades','58','8','0','','0','','https://img.quodom.com.ar/producto/445.png','Z445','','','','');</v>
      </c>
    </row>
    <row r="270">
      <c r="A270" s="2">
        <v>446.0</v>
      </c>
      <c r="B270" s="2" t="s">
        <v>983</v>
      </c>
      <c r="C270" s="2" t="s">
        <v>983</v>
      </c>
      <c r="D270" s="2">
        <v>58.0</v>
      </c>
      <c r="E270" s="2">
        <v>8.0</v>
      </c>
      <c r="F270" s="2">
        <v>0.0</v>
      </c>
      <c r="H270" s="2">
        <v>0.0</v>
      </c>
      <c r="J270" s="3" t="s">
        <v>984</v>
      </c>
      <c r="K270" s="2" t="s">
        <v>985</v>
      </c>
      <c r="U270" s="8" t="str">
        <f t="shared" si="1"/>
        <v>CALL InsertOrUpdateProducto('446','Guantes para alta temperatura','Guantes para alta temperatura','58','8','0','','0','','https://img.quodom.com.ar/producto/446.png','Z446','','','','');</v>
      </c>
    </row>
    <row r="271">
      <c r="A271" s="2">
        <v>447.0</v>
      </c>
      <c r="B271" s="2" t="s">
        <v>986</v>
      </c>
      <c r="C271" s="2" t="s">
        <v>986</v>
      </c>
      <c r="D271" s="2">
        <v>58.0</v>
      </c>
      <c r="E271" s="2">
        <v>8.0</v>
      </c>
      <c r="F271" s="2">
        <v>0.0</v>
      </c>
      <c r="H271" s="2">
        <v>0.0</v>
      </c>
      <c r="J271" s="3" t="s">
        <v>987</v>
      </c>
      <c r="K271" s="2" t="s">
        <v>988</v>
      </c>
      <c r="U271" s="8" t="str">
        <f t="shared" si="1"/>
        <v>CALL InsertOrUpdateProducto('447','Guantes full metal','Guantes full metal','58','8','0','','0','','https://img.quodom.com.ar/producto/447.png','Z447','','','','');</v>
      </c>
    </row>
    <row r="272">
      <c r="A272" s="2">
        <v>448.0</v>
      </c>
      <c r="B272" s="2" t="s">
        <v>989</v>
      </c>
      <c r="C272" s="2" t="s">
        <v>989</v>
      </c>
      <c r="D272" s="2">
        <v>58.0</v>
      </c>
      <c r="E272" s="2">
        <v>8.0</v>
      </c>
      <c r="F272" s="2">
        <v>0.0</v>
      </c>
      <c r="H272" s="2">
        <v>0.0</v>
      </c>
      <c r="J272" s="3" t="s">
        <v>990</v>
      </c>
      <c r="K272" s="2" t="s">
        <v>991</v>
      </c>
      <c r="U272" s="8" t="str">
        <f t="shared" si="1"/>
        <v>CALL InsertOrUpdateProducto('448','Guantes para soldador','Guantes para soldador','58','8','0','','0','','https://img.quodom.com.ar/producto/448.png','Z448','','','','');</v>
      </c>
    </row>
    <row r="273">
      <c r="A273" s="2">
        <v>449.0</v>
      </c>
      <c r="B273" s="2" t="s">
        <v>992</v>
      </c>
      <c r="C273" s="2" t="s">
        <v>992</v>
      </c>
      <c r="D273" s="2">
        <v>58.0</v>
      </c>
      <c r="E273" s="2">
        <v>8.0</v>
      </c>
      <c r="F273" s="2">
        <v>0.0</v>
      </c>
      <c r="H273" s="2">
        <v>0.0</v>
      </c>
      <c r="J273" s="3" t="s">
        <v>993</v>
      </c>
      <c r="K273" s="2" t="s">
        <v>994</v>
      </c>
      <c r="U273" s="8" t="str">
        <f t="shared" si="1"/>
        <v>CALL InsertOrUpdateProducto('449','Guantes PVC','Guantes PVC','58','8','0','','0','','https://img.quodom.com.ar/producto/449.png','Z449','','','','');</v>
      </c>
    </row>
    <row r="274">
      <c r="A274" s="2">
        <v>450.0</v>
      </c>
      <c r="B274" s="2" t="s">
        <v>995</v>
      </c>
      <c r="C274" s="2" t="s">
        <v>995</v>
      </c>
      <c r="D274" s="2">
        <v>59.0</v>
      </c>
      <c r="E274" s="2">
        <v>1.0</v>
      </c>
      <c r="F274" s="2">
        <v>0.0</v>
      </c>
      <c r="H274" s="2">
        <v>0.0</v>
      </c>
      <c r="J274" s="3" t="s">
        <v>996</v>
      </c>
      <c r="K274" s="2" t="s">
        <v>997</v>
      </c>
      <c r="L274" s="2" t="s">
        <v>581</v>
      </c>
      <c r="U274" s="8" t="str">
        <f t="shared" si="1"/>
        <v>CALL InsertOrUpdateProducto('450','Candado por 5 unidades','Candado por 5 unidades','59','1','0','','0','','https://img.quodom.com.ar/producto/450.png','Z450','COLOR','','','');</v>
      </c>
    </row>
    <row r="275">
      <c r="A275" s="2">
        <v>451.0</v>
      </c>
      <c r="B275" s="2" t="s">
        <v>998</v>
      </c>
      <c r="C275" s="2" t="s">
        <v>998</v>
      </c>
      <c r="D275" s="2">
        <v>60.0</v>
      </c>
      <c r="E275" s="2">
        <v>3.0</v>
      </c>
      <c r="F275" s="2">
        <v>0.0</v>
      </c>
      <c r="H275" s="2">
        <v>0.0</v>
      </c>
      <c r="J275" s="3" t="s">
        <v>999</v>
      </c>
      <c r="K275" s="2" t="s">
        <v>1000</v>
      </c>
      <c r="L275" s="2" t="s">
        <v>263</v>
      </c>
      <c r="U275" s="8" t="str">
        <f t="shared" si="1"/>
        <v>CALL InsertOrUpdateProducto('451','Bandeja con tapa por 10 unidades','Bandeja con tapa por 10 unidades','60','3','0','','0','','https://img.quodom.com.ar/producto/451.png','Z451','MEDIDAS','','','');</v>
      </c>
    </row>
    <row r="276">
      <c r="A276" s="2">
        <v>452.0</v>
      </c>
      <c r="B276" s="2" t="s">
        <v>1001</v>
      </c>
      <c r="C276" s="2" t="s">
        <v>1001</v>
      </c>
      <c r="D276" s="2">
        <v>60.0</v>
      </c>
      <c r="E276" s="2">
        <v>3.0</v>
      </c>
      <c r="F276" s="2">
        <v>0.0</v>
      </c>
      <c r="H276" s="2">
        <v>0.0</v>
      </c>
      <c r="J276" s="3" t="s">
        <v>1002</v>
      </c>
      <c r="K276" s="2" t="s">
        <v>1003</v>
      </c>
      <c r="L276" s="2" t="s">
        <v>263</v>
      </c>
      <c r="U276" s="8" t="str">
        <f t="shared" si="1"/>
        <v>CALL InsertOrUpdateProducto('452','Bandeja por 10 unidades','Bandeja por 10 unidades','60','3','0','','0','','https://img.quodom.com.ar/producto/452.png','Z452','MEDIDAS','','','');</v>
      </c>
    </row>
    <row r="277">
      <c r="A277" s="2">
        <v>453.0</v>
      </c>
      <c r="B277" s="2" t="s">
        <v>1004</v>
      </c>
      <c r="C277" s="2" t="s">
        <v>1004</v>
      </c>
      <c r="D277" s="2">
        <v>60.0</v>
      </c>
      <c r="E277" s="2">
        <v>3.0</v>
      </c>
      <c r="F277" s="2">
        <v>0.0</v>
      </c>
      <c r="H277" s="2">
        <v>0.0</v>
      </c>
      <c r="J277" s="3" t="s">
        <v>1005</v>
      </c>
      <c r="K277" s="2" t="s">
        <v>1006</v>
      </c>
      <c r="L277" s="2" t="s">
        <v>263</v>
      </c>
      <c r="U277" s="8" t="str">
        <f t="shared" si="1"/>
        <v>CALL InsertOrUpdateProducto('453','Tapa por 10 unidades','Tapa por 10 unidades','60','3','0','','0','','https://img.quodom.com.ar/producto/453.png','Z453','MEDIDAS','','','');</v>
      </c>
    </row>
    <row r="278">
      <c r="A278" s="2">
        <v>454.0</v>
      </c>
      <c r="B278" s="2" t="s">
        <v>1007</v>
      </c>
      <c r="C278" s="2" t="s">
        <v>1007</v>
      </c>
      <c r="D278" s="2">
        <v>60.0</v>
      </c>
      <c r="E278" s="2">
        <v>3.0</v>
      </c>
      <c r="F278" s="2">
        <v>0.0</v>
      </c>
      <c r="H278" s="2">
        <v>0.0</v>
      </c>
      <c r="J278" s="3" t="s">
        <v>1008</v>
      </c>
      <c r="K278" s="2" t="s">
        <v>1009</v>
      </c>
      <c r="L278" s="2" t="s">
        <v>263</v>
      </c>
      <c r="U278" s="8" t="str">
        <f t="shared" si="1"/>
        <v>CALL InsertOrUpdateProducto('454','Tartera por 10 unidades','Tartera por 10 unidades','60','3','0','','0','','https://img.quodom.com.ar/producto/454.png','Z454','MEDIDAS','','','');</v>
      </c>
    </row>
    <row r="279">
      <c r="A279" s="2">
        <v>455.0</v>
      </c>
      <c r="B279" s="2" t="s">
        <v>1010</v>
      </c>
      <c r="C279" s="2" t="s">
        <v>1010</v>
      </c>
      <c r="D279" s="2">
        <v>60.0</v>
      </c>
      <c r="E279" s="2">
        <v>3.0</v>
      </c>
      <c r="F279" s="2">
        <v>0.0</v>
      </c>
      <c r="H279" s="2">
        <v>0.0</v>
      </c>
      <c r="J279" s="3" t="s">
        <v>1011</v>
      </c>
      <c r="K279" s="2" t="s">
        <v>1012</v>
      </c>
      <c r="L279" s="2" t="s">
        <v>263</v>
      </c>
      <c r="U279" s="8" t="str">
        <f t="shared" si="1"/>
        <v>CALL InsertOrUpdateProducto('455','Plato por 10 unidades','Plato por 10 unidades','60','3','0','','0','','https://img.quodom.com.ar/producto/455.png','Z455','MEDIDAS','','','');</v>
      </c>
    </row>
    <row r="280">
      <c r="A280" s="2">
        <v>456.0</v>
      </c>
      <c r="B280" s="2" t="s">
        <v>1013</v>
      </c>
      <c r="C280" s="2" t="s">
        <v>1013</v>
      </c>
      <c r="D280" s="2">
        <v>60.0</v>
      </c>
      <c r="E280" s="2">
        <v>3.0</v>
      </c>
      <c r="F280" s="2">
        <v>0.0</v>
      </c>
      <c r="H280" s="2">
        <v>0.0</v>
      </c>
      <c r="J280" s="3" t="s">
        <v>1014</v>
      </c>
      <c r="K280" s="2" t="s">
        <v>1015</v>
      </c>
      <c r="L280" s="2" t="s">
        <v>263</v>
      </c>
      <c r="U280" s="8" t="str">
        <f t="shared" si="1"/>
        <v>CALL InsertOrUpdateProducto('456','Budinera por 10 unidades','Budinera por 10 unidades','60','3','0','','0','','https://img.quodom.com.ar/producto/456.png','Z456','MEDIDAS','','','');</v>
      </c>
    </row>
    <row r="281">
      <c r="A281" s="2">
        <v>457.0</v>
      </c>
      <c r="B281" s="2" t="s">
        <v>1016</v>
      </c>
      <c r="C281" s="2" t="s">
        <v>1016</v>
      </c>
      <c r="D281" s="2">
        <v>60.0</v>
      </c>
      <c r="E281" s="2">
        <v>3.0</v>
      </c>
      <c r="F281" s="2">
        <v>0.0</v>
      </c>
      <c r="H281" s="2">
        <v>0.0</v>
      </c>
      <c r="J281" s="3" t="s">
        <v>1017</v>
      </c>
      <c r="K281" s="2" t="s">
        <v>1018</v>
      </c>
      <c r="L281" s="2" t="s">
        <v>263</v>
      </c>
      <c r="U281" s="8" t="str">
        <f t="shared" si="1"/>
        <v>CALL InsertOrUpdateProducto('457','Flanera por 10 unidades','Flanera por 10 unidades','60','3','0','','0','','https://img.quodom.com.ar/producto/457.png','Z457','MEDIDAS','','','');</v>
      </c>
    </row>
    <row r="282">
      <c r="A282" s="2">
        <v>458.0</v>
      </c>
      <c r="B282" s="2" t="s">
        <v>1019</v>
      </c>
      <c r="C282" s="2" t="s">
        <v>1019</v>
      </c>
      <c r="D282" s="2">
        <v>60.0</v>
      </c>
      <c r="E282" s="2">
        <v>3.0</v>
      </c>
      <c r="F282" s="2">
        <v>0.0</v>
      </c>
      <c r="H282" s="2">
        <v>0.0</v>
      </c>
      <c r="J282" s="3" t="s">
        <v>1020</v>
      </c>
      <c r="K282" s="2" t="s">
        <v>1021</v>
      </c>
      <c r="U282" s="8" t="str">
        <f t="shared" si="1"/>
        <v>CALL InsertOrUpdateProducto('458','Tapa para flanera 230 cc por 10 unidades','Tapa para flanera 230 cc por 10 unidades','60','3','0','','0','','https://img.quodom.com.ar/producto/458.png','Z458','','','','');</v>
      </c>
    </row>
    <row r="283">
      <c r="A283" s="2">
        <v>459.0</v>
      </c>
      <c r="B283" s="2" t="s">
        <v>1022</v>
      </c>
      <c r="C283" s="2" t="s">
        <v>1022</v>
      </c>
      <c r="D283" s="2">
        <v>60.0</v>
      </c>
      <c r="E283" s="2">
        <v>3.0</v>
      </c>
      <c r="F283" s="2">
        <v>0.0</v>
      </c>
      <c r="H283" s="2">
        <v>0.0</v>
      </c>
      <c r="J283" s="3" t="s">
        <v>1023</v>
      </c>
      <c r="K283" s="2" t="s">
        <v>1024</v>
      </c>
      <c r="U283" s="8" t="str">
        <f t="shared" si="1"/>
        <v>CALL InsertOrUpdateProducto('459','Molde pan dulce 1 kilo por 10 unidades','Molde pan dulce 1 kilo por 10 unidades','60','3','0','','0','','https://img.quodom.com.ar/producto/459.png','Z459','','','','');</v>
      </c>
    </row>
    <row r="284">
      <c r="A284" s="2">
        <v>460.0</v>
      </c>
      <c r="B284" s="2" t="s">
        <v>1025</v>
      </c>
      <c r="C284" s="2" t="s">
        <v>1025</v>
      </c>
      <c r="D284" s="2">
        <v>60.0</v>
      </c>
      <c r="E284" s="2">
        <v>3.0</v>
      </c>
      <c r="F284" s="2">
        <v>0.0</v>
      </c>
      <c r="H284" s="2">
        <v>0.0</v>
      </c>
      <c r="J284" s="3" t="s">
        <v>1026</v>
      </c>
      <c r="K284" s="2" t="s">
        <v>1027</v>
      </c>
      <c r="L284" s="2" t="s">
        <v>1028</v>
      </c>
      <c r="U284" s="8" t="str">
        <f t="shared" si="1"/>
        <v>CALL InsertOrUpdateProducto('460','Rollo de aluminio por kilo','Rollo de aluminio por kilo','60','3','0','','0','','https://img.quodom.com.ar/producto/460.png','Z460','CALIDAD','','','');</v>
      </c>
    </row>
    <row r="285">
      <c r="A285" s="2">
        <v>461.0</v>
      </c>
      <c r="B285" s="2" t="s">
        <v>1029</v>
      </c>
      <c r="C285" s="2" t="s">
        <v>1029</v>
      </c>
      <c r="D285" s="2">
        <v>61.0</v>
      </c>
      <c r="E285" s="2">
        <v>3.0</v>
      </c>
      <c r="F285" s="2">
        <v>0.0</v>
      </c>
      <c r="H285" s="2">
        <v>0.0</v>
      </c>
      <c r="J285" s="3" t="s">
        <v>1030</v>
      </c>
      <c r="K285" s="2" t="s">
        <v>1031</v>
      </c>
      <c r="L285" s="2" t="s">
        <v>263</v>
      </c>
      <c r="U285" s="8" t="str">
        <f t="shared" si="1"/>
        <v>CALL InsertOrUpdateProducto('461','Bandeja satinada por 10 unidades','Bandeja satinada por 10 unidades','61','3','0','','0','','https://img.quodom.com.ar/producto/461.png','Z461','MEDIDAS','','','');</v>
      </c>
    </row>
    <row r="286">
      <c r="A286" s="2">
        <v>462.0</v>
      </c>
      <c r="B286" s="2" t="s">
        <v>1032</v>
      </c>
      <c r="C286" s="2" t="s">
        <v>1032</v>
      </c>
      <c r="D286" s="2">
        <v>61.0</v>
      </c>
      <c r="E286" s="2">
        <v>3.0</v>
      </c>
      <c r="F286" s="2">
        <v>0.0</v>
      </c>
      <c r="H286" s="2">
        <v>0.0</v>
      </c>
      <c r="J286" s="3" t="s">
        <v>1033</v>
      </c>
      <c r="K286" s="2" t="s">
        <v>1034</v>
      </c>
      <c r="L286" s="2" t="s">
        <v>263</v>
      </c>
      <c r="U286" s="8" t="str">
        <f t="shared" si="1"/>
        <v>CALL InsertOrUpdateProducto('462','Bandeja gris por 10 unidades','Bandeja gris por 10 unidades','61','3','0','','0','','https://img.quodom.com.ar/producto/462.png','Z462','MEDIDAS','','','');</v>
      </c>
    </row>
    <row r="287">
      <c r="A287" s="2">
        <v>463.0</v>
      </c>
      <c r="B287" s="2" t="s">
        <v>1035</v>
      </c>
      <c r="C287" s="2" t="s">
        <v>1035</v>
      </c>
      <c r="D287" s="2">
        <v>61.0</v>
      </c>
      <c r="E287" s="2">
        <v>3.0</v>
      </c>
      <c r="F287" s="2">
        <v>0.0</v>
      </c>
      <c r="H287" s="2">
        <v>0.0</v>
      </c>
      <c r="J287" s="3" t="s">
        <v>1036</v>
      </c>
      <c r="K287" s="2" t="s">
        <v>1037</v>
      </c>
      <c r="U287" s="8" t="str">
        <f t="shared" si="1"/>
        <v>CALL InsertOrUpdateProducto('463','Bandeja redonda 25 cm por 10 unidades','Bandeja redonda 25 cm por 10 unidades','61','3','0','','0','','https://img.quodom.com.ar/producto/463.png','Z463','','','','');</v>
      </c>
    </row>
    <row r="288">
      <c r="A288" s="2">
        <v>464.0</v>
      </c>
      <c r="B288" s="2" t="s">
        <v>1038</v>
      </c>
      <c r="C288" s="2" t="s">
        <v>1038</v>
      </c>
      <c r="D288" s="2">
        <v>61.0</v>
      </c>
      <c r="E288" s="2">
        <v>3.0</v>
      </c>
      <c r="F288" s="2">
        <v>0.0</v>
      </c>
      <c r="H288" s="2">
        <v>0.0</v>
      </c>
      <c r="J288" s="3" t="s">
        <v>1039</v>
      </c>
      <c r="K288" s="2" t="s">
        <v>1040</v>
      </c>
      <c r="L288" s="2" t="s">
        <v>263</v>
      </c>
      <c r="U288" s="8" t="str">
        <f t="shared" si="1"/>
        <v>CALL InsertOrUpdateProducto('464','Discos gris por 10 unidades','Discos gris por 10 unidades','61','3','0','','0','','https://img.quodom.com.ar/producto/464.png','Z464','MEDIDAS','','','');</v>
      </c>
    </row>
    <row r="289">
      <c r="A289" s="2">
        <v>465.0</v>
      </c>
      <c r="B289" s="2" t="s">
        <v>1041</v>
      </c>
      <c r="C289" s="2" t="s">
        <v>1041</v>
      </c>
      <c r="D289" s="2">
        <v>61.0</v>
      </c>
      <c r="E289" s="2">
        <v>3.0</v>
      </c>
      <c r="F289" s="2">
        <v>0.0</v>
      </c>
      <c r="H289" s="2">
        <v>0.0</v>
      </c>
      <c r="J289" s="3" t="s">
        <v>1042</v>
      </c>
      <c r="K289" s="2" t="s">
        <v>1043</v>
      </c>
      <c r="L289" s="2" t="s">
        <v>263</v>
      </c>
      <c r="U289" s="8" t="str">
        <f t="shared" si="1"/>
        <v>CALL InsertOrUpdateProducto('465','Bandeja cartón dorado por 10 unidades','Bandeja cartón dorado por 10 unidades','61','3','0','','0','','https://img.quodom.com.ar/producto/465.png','Z465','MEDIDAS','','','');</v>
      </c>
    </row>
    <row r="290">
      <c r="A290" s="2">
        <v>466.0</v>
      </c>
      <c r="B290" s="2" t="s">
        <v>1044</v>
      </c>
      <c r="C290" s="2" t="s">
        <v>1044</v>
      </c>
      <c r="D290" s="2">
        <v>61.0</v>
      </c>
      <c r="E290" s="2">
        <v>3.0</v>
      </c>
      <c r="F290" s="2">
        <v>0.0</v>
      </c>
      <c r="H290" s="2">
        <v>0.0</v>
      </c>
      <c r="J290" s="3" t="s">
        <v>1045</v>
      </c>
      <c r="K290" s="2" t="s">
        <v>1046</v>
      </c>
      <c r="L290" s="2" t="s">
        <v>263</v>
      </c>
      <c r="U290" s="8" t="str">
        <f t="shared" si="1"/>
        <v>CALL InsertOrUpdateProducto('466','Plato de cartón dorado por 10 unidades','Plato de cartón dorado por 10 unidades','61','3','0','','0','','https://img.quodom.com.ar/producto/466.png','Z466','MEDIDAS','','','');</v>
      </c>
    </row>
    <row r="291">
      <c r="A291" s="2">
        <v>467.0</v>
      </c>
      <c r="B291" s="2" t="s">
        <v>1047</v>
      </c>
      <c r="C291" s="2" t="s">
        <v>1047</v>
      </c>
      <c r="D291" s="2">
        <v>61.0</v>
      </c>
      <c r="E291" s="2">
        <v>3.0</v>
      </c>
      <c r="F291" s="2">
        <v>0.0</v>
      </c>
      <c r="H291" s="2">
        <v>0.0</v>
      </c>
      <c r="J291" s="3" t="s">
        <v>1048</v>
      </c>
      <c r="K291" s="2" t="s">
        <v>1049</v>
      </c>
      <c r="L291" s="2" t="s">
        <v>263</v>
      </c>
      <c r="U291" s="8" t="str">
        <f t="shared" si="1"/>
        <v>CALL InsertOrUpdateProducto('467','Discos cartón dorado por 10 unidades','Discos cartón dorado por 10 unidades','61','3','0','','0','','https://img.quodom.com.ar/producto/467.png','Z467','MEDIDAS','','','');</v>
      </c>
    </row>
    <row r="292">
      <c r="A292" s="2">
        <v>468.0</v>
      </c>
      <c r="B292" s="2" t="s">
        <v>1050</v>
      </c>
      <c r="C292" s="2" t="s">
        <v>1050</v>
      </c>
      <c r="D292" s="2">
        <v>61.0</v>
      </c>
      <c r="E292" s="2">
        <v>3.0</v>
      </c>
      <c r="F292" s="2">
        <v>0.0</v>
      </c>
      <c r="H292" s="2">
        <v>0.0</v>
      </c>
      <c r="J292" s="3" t="s">
        <v>1051</v>
      </c>
      <c r="K292" s="2" t="s">
        <v>1052</v>
      </c>
      <c r="U292" s="8" t="str">
        <f t="shared" si="1"/>
        <v>CALL InsertOrUpdateProducto('468','Cono papas fritas por 50 unidades','Cono papas fritas por 50 unidades','61','3','0','','0','','https://img.quodom.com.ar/producto/468.png','Z468','','','','');</v>
      </c>
    </row>
    <row r="293">
      <c r="A293" s="2">
        <v>469.0</v>
      </c>
      <c r="B293" s="2" t="s">
        <v>1053</v>
      </c>
      <c r="C293" s="2" t="s">
        <v>1053</v>
      </c>
      <c r="D293" s="2">
        <v>61.0</v>
      </c>
      <c r="E293" s="2">
        <v>3.0</v>
      </c>
      <c r="F293" s="2">
        <v>0.0</v>
      </c>
      <c r="H293" s="2">
        <v>0.0</v>
      </c>
      <c r="J293" s="3" t="s">
        <v>1054</v>
      </c>
      <c r="K293" s="2" t="s">
        <v>1055</v>
      </c>
      <c r="U293" s="8" t="str">
        <f t="shared" si="1"/>
        <v>CALL InsertOrUpdateProducto('469','Estuche papas fritas por 50 unidades','Estuche papas fritas por 50 unidades','61','3','0','','0','','https://img.quodom.com.ar/producto/469.png','Z469','','','','');</v>
      </c>
    </row>
    <row r="294">
      <c r="A294" s="2">
        <v>470.0</v>
      </c>
      <c r="B294" s="2" t="s">
        <v>1056</v>
      </c>
      <c r="C294" s="2" t="s">
        <v>1056</v>
      </c>
      <c r="D294" s="2">
        <v>61.0</v>
      </c>
      <c r="E294" s="2">
        <v>3.0</v>
      </c>
      <c r="F294" s="2">
        <v>0.0</v>
      </c>
      <c r="H294" s="2">
        <v>0.0</v>
      </c>
      <c r="J294" s="3" t="s">
        <v>1057</v>
      </c>
      <c r="K294" s="2" t="s">
        <v>1058</v>
      </c>
      <c r="U294" s="8" t="str">
        <f t="shared" si="1"/>
        <v>CALL InsertOrUpdateProducto('470','Portapanchos por 50 unidades','Portapanchos por 50 unidades','61','3','0','','0','','https://img.quodom.com.ar/producto/470.png','Z470','','','','');</v>
      </c>
    </row>
    <row r="295">
      <c r="A295" s="2">
        <v>471.0</v>
      </c>
      <c r="B295" s="2" t="s">
        <v>1059</v>
      </c>
      <c r="C295" s="2" t="s">
        <v>1059</v>
      </c>
      <c r="D295" s="2">
        <v>61.0</v>
      </c>
      <c r="E295" s="2">
        <v>3.0</v>
      </c>
      <c r="F295" s="2">
        <v>0.0</v>
      </c>
      <c r="H295" s="2">
        <v>0.0</v>
      </c>
      <c r="J295" s="3" t="s">
        <v>1060</v>
      </c>
      <c r="K295" s="2" t="s">
        <v>1061</v>
      </c>
      <c r="U295" s="8" t="str">
        <f t="shared" si="1"/>
        <v>CALL InsertOrUpdateProducto('471','Portavaso doble por 50 unidades','Portavaso doble por 50 unidades','61','3','0','','0','','https://img.quodom.com.ar/producto/471.png','Z471','','','','');</v>
      </c>
    </row>
    <row r="296">
      <c r="A296" s="2">
        <v>472.0</v>
      </c>
      <c r="B296" s="2" t="s">
        <v>1062</v>
      </c>
      <c r="C296" s="2" t="s">
        <v>1062</v>
      </c>
      <c r="D296" s="2">
        <v>62.0</v>
      </c>
      <c r="E296" s="2">
        <v>3.0</v>
      </c>
      <c r="F296" s="2">
        <v>0.0</v>
      </c>
      <c r="H296" s="2">
        <v>0.0</v>
      </c>
      <c r="J296" s="3" t="s">
        <v>1063</v>
      </c>
      <c r="K296" s="2" t="s">
        <v>1064</v>
      </c>
      <c r="U296" s="8" t="str">
        <f t="shared" si="1"/>
        <v>CALL InsertOrUpdateProducto('472','Molde bizcochuelo para horno por 50 uni.','Molde bizcochuelo para horno por 50 uni.','62','3','0','','0','','https://img.quodom.com.ar/producto/472.png','Z472','','','','');</v>
      </c>
    </row>
    <row r="297">
      <c r="A297" s="2">
        <v>473.0</v>
      </c>
      <c r="B297" s="2" t="s">
        <v>1065</v>
      </c>
      <c r="C297" s="2" t="s">
        <v>1065</v>
      </c>
      <c r="D297" s="2">
        <v>62.0</v>
      </c>
      <c r="E297" s="2">
        <v>3.0</v>
      </c>
      <c r="F297" s="2">
        <v>0.0</v>
      </c>
      <c r="H297" s="2">
        <v>0.0</v>
      </c>
      <c r="J297" s="3" t="s">
        <v>1066</v>
      </c>
      <c r="K297" s="2" t="s">
        <v>1067</v>
      </c>
      <c r="L297" s="2" t="s">
        <v>263</v>
      </c>
      <c r="U297" s="8" t="str">
        <f t="shared" si="1"/>
        <v>CALL InsertOrUpdateProducto('473','Palitos de brochette por 500 unidades','Palitos de brochette por 500 unidades','62','3','0','','0','','https://img.quodom.com.ar/producto/473.png','Z473','MEDIDAS','','','');</v>
      </c>
    </row>
    <row r="298">
      <c r="A298" s="2">
        <v>474.0</v>
      </c>
      <c r="B298" s="2" t="s">
        <v>1068</v>
      </c>
      <c r="C298" s="2" t="s">
        <v>1068</v>
      </c>
      <c r="D298" s="2">
        <v>62.0</v>
      </c>
      <c r="E298" s="2">
        <v>3.0</v>
      </c>
      <c r="F298" s="2">
        <v>0.0</v>
      </c>
      <c r="H298" s="2">
        <v>0.0</v>
      </c>
      <c r="J298" s="3" t="s">
        <v>1069</v>
      </c>
      <c r="K298" s="2" t="s">
        <v>1070</v>
      </c>
      <c r="L298" s="2" t="s">
        <v>263</v>
      </c>
      <c r="U298" s="8" t="str">
        <f t="shared" si="1"/>
        <v>CALL InsertOrUpdateProducto('474','Tortera por 10 unidades','Tortera por 10 unidades','62','3','0','','0','','https://img.quodom.com.ar/producto/474.png','Z474','MEDIDAS','','','');</v>
      </c>
    </row>
    <row r="299">
      <c r="A299" s="2">
        <v>475.0</v>
      </c>
      <c r="B299" s="2" t="s">
        <v>1071</v>
      </c>
      <c r="C299" s="2" t="s">
        <v>1071</v>
      </c>
      <c r="D299" s="2">
        <v>62.0</v>
      </c>
      <c r="E299" s="2">
        <v>3.0</v>
      </c>
      <c r="F299" s="2">
        <v>0.0</v>
      </c>
      <c r="H299" s="2">
        <v>0.0</v>
      </c>
      <c r="J299" s="3" t="s">
        <v>1072</v>
      </c>
      <c r="K299" s="2" t="s">
        <v>1073</v>
      </c>
      <c r="L299" s="2" t="s">
        <v>263</v>
      </c>
      <c r="U299" s="8" t="str">
        <f t="shared" si="1"/>
        <v>CALL InsertOrUpdateProducto('475','Bandeja 5 divisiones por 10 unidades','Bandeja 5 divisiones por 10 unidades','62','3','0','','0','','https://img.quodom.com.ar/producto/475.png','Z475','MEDIDAS','','','');</v>
      </c>
    </row>
    <row r="300">
      <c r="A300" s="2">
        <v>476.0</v>
      </c>
      <c r="B300" s="2" t="s">
        <v>1074</v>
      </c>
      <c r="C300" s="2" t="s">
        <v>1074</v>
      </c>
      <c r="D300" s="2">
        <v>62.0</v>
      </c>
      <c r="E300" s="2">
        <v>3.0</v>
      </c>
      <c r="F300" s="2">
        <v>0.0</v>
      </c>
      <c r="H300" s="2">
        <v>0.0</v>
      </c>
      <c r="J300" s="3" t="s">
        <v>1075</v>
      </c>
      <c r="K300" s="2" t="s">
        <v>1076</v>
      </c>
      <c r="L300" s="2" t="s">
        <v>263</v>
      </c>
      <c r="U300" s="8" t="str">
        <f t="shared" si="1"/>
        <v>CALL InsertOrUpdateProducto('476','Bandeja expandido por 10 unidades','Bandeja expandido por 10 unidades','62','3','0','','0','','https://img.quodom.com.ar/producto/476.png','Z476','MEDIDAS','','','');</v>
      </c>
    </row>
    <row r="301">
      <c r="A301" s="2">
        <v>477.0</v>
      </c>
      <c r="B301" s="2" t="s">
        <v>1077</v>
      </c>
      <c r="C301" s="2" t="s">
        <v>1077</v>
      </c>
      <c r="D301" s="2">
        <v>62.0</v>
      </c>
      <c r="E301" s="2">
        <v>3.0</v>
      </c>
      <c r="F301" s="2">
        <v>0.0</v>
      </c>
      <c r="H301" s="2">
        <v>0.0</v>
      </c>
      <c r="J301" s="3" t="s">
        <v>1078</v>
      </c>
      <c r="K301" s="2" t="s">
        <v>1079</v>
      </c>
      <c r="L301" s="2" t="s">
        <v>263</v>
      </c>
      <c r="U301" s="8" t="str">
        <f t="shared" si="1"/>
        <v>CALL InsertOrUpdateProducto('477','Marmita expandido con tapa por 10 unidades','Marmita expandido con tapa por 10 unidades','62','3','0','','0','','https://img.quodom.com.ar/producto/477.png','Z477','MEDIDAS','','','');</v>
      </c>
    </row>
    <row r="302">
      <c r="A302" s="2">
        <v>478.0</v>
      </c>
      <c r="B302" s="2" t="s">
        <v>1080</v>
      </c>
      <c r="C302" s="2" t="s">
        <v>1080</v>
      </c>
      <c r="D302" s="2">
        <v>62.0</v>
      </c>
      <c r="E302" s="2">
        <v>3.0</v>
      </c>
      <c r="F302" s="2">
        <v>0.0</v>
      </c>
      <c r="H302" s="2">
        <v>0.0</v>
      </c>
      <c r="J302" s="3" t="s">
        <v>1081</v>
      </c>
      <c r="K302" s="2" t="s">
        <v>1082</v>
      </c>
      <c r="L302" s="2" t="s">
        <v>263</v>
      </c>
      <c r="U302" s="8" t="str">
        <f t="shared" si="1"/>
        <v>CALL InsertOrUpdateProducto('478','Bandeja black sushi con tapa por 10 unidades','Bandeja black sushi con tapa por 10 unidades','62','3','0','','0','','https://img.quodom.com.ar/producto/478.png','Z478','MEDIDAS','','','');</v>
      </c>
    </row>
    <row r="303">
      <c r="A303" s="2">
        <v>479.0</v>
      </c>
      <c r="B303" s="2" t="s">
        <v>1083</v>
      </c>
      <c r="C303" s="2" t="s">
        <v>1083</v>
      </c>
      <c r="D303" s="2">
        <v>62.0</v>
      </c>
      <c r="E303" s="2">
        <v>3.0</v>
      </c>
      <c r="F303" s="2">
        <v>0.0</v>
      </c>
      <c r="H303" s="2">
        <v>0.0</v>
      </c>
      <c r="J303" s="3" t="s">
        <v>1084</v>
      </c>
      <c r="K303" s="2" t="s">
        <v>1085</v>
      </c>
      <c r="L303" s="2" t="s">
        <v>263</v>
      </c>
      <c r="U303" s="8" t="str">
        <f t="shared" si="1"/>
        <v>CALL InsertOrUpdateProducto('479','Bandeja black sushi con tapa con división por 10 unidades','Bandeja black sushi con tapa con división por 10 unidades','62','3','0','','0','','https://img.quodom.com.ar/producto/479.png','Z479','MEDIDAS','','','');</v>
      </c>
    </row>
    <row r="304">
      <c r="A304" s="2">
        <v>480.0</v>
      </c>
      <c r="B304" s="2" t="s">
        <v>1086</v>
      </c>
      <c r="C304" s="2" t="s">
        <v>1086</v>
      </c>
      <c r="D304" s="2">
        <v>62.0</v>
      </c>
      <c r="E304" s="2">
        <v>3.0</v>
      </c>
      <c r="F304" s="2">
        <v>0.0</v>
      </c>
      <c r="H304" s="2">
        <v>0.0</v>
      </c>
      <c r="J304" s="3" t="s">
        <v>1087</v>
      </c>
      <c r="K304" s="2" t="s">
        <v>1088</v>
      </c>
      <c r="L304" s="2" t="s">
        <v>263</v>
      </c>
      <c r="U304" s="8" t="str">
        <f t="shared" si="1"/>
        <v>CALL InsertOrUpdateProducto('480','Bandeja polipropileno transp. por 10 unidades','Bandeja polipropileno transp. por 10 unidades','62','3','0','','0','','https://img.quodom.com.ar/producto/480.png','Z480','MEDIDAS','','','');</v>
      </c>
    </row>
    <row r="305">
      <c r="A305" s="2">
        <v>481.0</v>
      </c>
      <c r="B305" s="2" t="s">
        <v>1089</v>
      </c>
      <c r="C305" s="2" t="s">
        <v>1089</v>
      </c>
      <c r="D305" s="2">
        <v>62.0</v>
      </c>
      <c r="E305" s="2">
        <v>3.0</v>
      </c>
      <c r="F305" s="2">
        <v>0.0</v>
      </c>
      <c r="H305" s="2">
        <v>0.0</v>
      </c>
      <c r="J305" s="3" t="s">
        <v>1090</v>
      </c>
      <c r="K305" s="2" t="s">
        <v>1091</v>
      </c>
      <c r="L305" s="2" t="s">
        <v>263</v>
      </c>
      <c r="U305" s="8" t="str">
        <f t="shared" si="1"/>
        <v>CALL InsertOrUpdateProducto('481','Tapa Bandeja polipropileno por 10 unidades','Tapa Bandeja polipropileno por 10 unidades','62','3','0','','0','','https://img.quodom.com.ar/producto/481.png','Z481','MEDIDAS','','','');</v>
      </c>
    </row>
    <row r="306">
      <c r="A306" s="2">
        <v>482.0</v>
      </c>
      <c r="B306" s="2" t="s">
        <v>1092</v>
      </c>
      <c r="C306" s="2" t="s">
        <v>1092</v>
      </c>
      <c r="D306" s="2">
        <v>62.0</v>
      </c>
      <c r="E306" s="2">
        <v>3.0</v>
      </c>
      <c r="F306" s="2">
        <v>0.0</v>
      </c>
      <c r="H306" s="2">
        <v>0.0</v>
      </c>
      <c r="J306" s="3" t="s">
        <v>1093</v>
      </c>
      <c r="K306" s="2" t="s">
        <v>1094</v>
      </c>
      <c r="L306" s="2" t="s">
        <v>263</v>
      </c>
      <c r="U306" s="8" t="str">
        <f t="shared" si="1"/>
        <v>CALL InsertOrUpdateProducto('482','Bandeja ovalada polipropi. por 10 unidades','Bandeja ovalada polipropi. por 10 unidades','62','3','0','','0','','https://img.quodom.com.ar/producto/482.png','Z482','MEDIDAS','','','');</v>
      </c>
    </row>
    <row r="307">
      <c r="A307" s="2">
        <v>483.0</v>
      </c>
      <c r="B307" s="2" t="s">
        <v>1095</v>
      </c>
      <c r="C307" s="2" t="s">
        <v>1095</v>
      </c>
      <c r="D307" s="2">
        <v>62.0</v>
      </c>
      <c r="E307" s="2">
        <v>3.0</v>
      </c>
      <c r="F307" s="2">
        <v>0.0</v>
      </c>
      <c r="H307" s="2">
        <v>0.0</v>
      </c>
      <c r="J307" s="3" t="s">
        <v>1096</v>
      </c>
      <c r="K307" s="2" t="s">
        <v>1097</v>
      </c>
      <c r="L307" s="2" t="s">
        <v>263</v>
      </c>
      <c r="U307" s="8" t="str">
        <f t="shared" si="1"/>
        <v>CALL InsertOrUpdateProducto('483','Tapa ovalada polipropileno por 10 unidades','Tapa ovalada polipropileno por 10 unidades','62','3','0','','0','','https://img.quodom.com.ar/producto/483.png','Z483','MEDIDAS','','','');</v>
      </c>
    </row>
    <row r="308">
      <c r="A308" s="2">
        <v>484.0</v>
      </c>
      <c r="B308" s="2" t="s">
        <v>1098</v>
      </c>
      <c r="C308" s="2" t="s">
        <v>1098</v>
      </c>
      <c r="D308" s="2">
        <v>62.0</v>
      </c>
      <c r="E308" s="2">
        <v>3.0</v>
      </c>
      <c r="F308" s="2">
        <v>0.0</v>
      </c>
      <c r="H308" s="2">
        <v>0.0</v>
      </c>
      <c r="J308" s="3" t="s">
        <v>1099</v>
      </c>
      <c r="K308" s="2" t="s">
        <v>1100</v>
      </c>
      <c r="L308" s="2" t="s">
        <v>263</v>
      </c>
      <c r="U308" s="8" t="str">
        <f t="shared" si="1"/>
        <v>CALL InsertOrUpdateProducto('484','Ensaladera cristal con tapa por 10 unidades','Ensaladera cristal con tapa por 10 unidades','62','3','0','','0','','https://img.quodom.com.ar/producto/484.png','Z484','MEDIDAS','','','');</v>
      </c>
    </row>
    <row r="309">
      <c r="A309" s="2">
        <v>485.0</v>
      </c>
      <c r="B309" s="2" t="s">
        <v>1101</v>
      </c>
      <c r="C309" s="2" t="s">
        <v>1101</v>
      </c>
      <c r="D309" s="2">
        <v>62.0</v>
      </c>
      <c r="E309" s="2">
        <v>3.0</v>
      </c>
      <c r="F309" s="2">
        <v>0.0</v>
      </c>
      <c r="H309" s="2">
        <v>0.0</v>
      </c>
      <c r="J309" s="3" t="s">
        <v>1102</v>
      </c>
      <c r="K309" s="2" t="s">
        <v>1103</v>
      </c>
      <c r="L309" s="2" t="s">
        <v>263</v>
      </c>
      <c r="U309" s="8" t="str">
        <f t="shared" si="1"/>
        <v>CALL InsertOrUpdateProducto('485','Estuche cristal por 10 unidades','Estuche cristal por 10 unidades','62','3','0','','0','','https://img.quodom.com.ar/producto/485.png','Z485','MEDIDAS','','','');</v>
      </c>
    </row>
    <row r="310">
      <c r="A310" s="2">
        <v>486.0</v>
      </c>
      <c r="B310" s="2" t="s">
        <v>1104</v>
      </c>
      <c r="C310" s="2" t="s">
        <v>1104</v>
      </c>
      <c r="D310" s="2">
        <v>62.0</v>
      </c>
      <c r="E310" s="2">
        <v>3.0</v>
      </c>
      <c r="F310" s="2">
        <v>0.0</v>
      </c>
      <c r="H310" s="2">
        <v>0.0</v>
      </c>
      <c r="J310" s="3" t="s">
        <v>1105</v>
      </c>
      <c r="K310" s="2" t="s">
        <v>1106</v>
      </c>
      <c r="U310" s="8" t="str">
        <f t="shared" si="1"/>
        <v>CALL InsertOrUpdateProducto('486','Agitadores plásticos por 1000 unidades','Agitadores plásticos por 1000 unidades','62','3','0','','0','','https://img.quodom.com.ar/producto/486.png','Z486','','','','');</v>
      </c>
    </row>
    <row r="311">
      <c r="A311" s="2">
        <v>487.0</v>
      </c>
      <c r="B311" s="2" t="s">
        <v>1107</v>
      </c>
      <c r="C311" s="2" t="s">
        <v>1107</v>
      </c>
      <c r="D311" s="2">
        <v>62.0</v>
      </c>
      <c r="E311" s="2">
        <v>3.0</v>
      </c>
      <c r="F311" s="2">
        <v>0.0</v>
      </c>
      <c r="H311" s="2">
        <v>0.0</v>
      </c>
      <c r="J311" s="3" t="s">
        <v>1108</v>
      </c>
      <c r="K311" s="2" t="s">
        <v>1109</v>
      </c>
      <c r="U311" s="8" t="str">
        <f t="shared" si="1"/>
        <v>CALL InsertOrUpdateProducto('487','Agitadores madera por 1000 unidades','Agitadores madera por 1000 unidades','62','3','0','','0','','https://img.quodom.com.ar/producto/487.png','Z487','','','','');</v>
      </c>
    </row>
    <row r="312">
      <c r="A312" s="2">
        <v>488.0</v>
      </c>
      <c r="B312" s="2" t="s">
        <v>1110</v>
      </c>
      <c r="C312" s="2" t="s">
        <v>1110</v>
      </c>
      <c r="D312" s="2">
        <v>62.0</v>
      </c>
      <c r="E312" s="2">
        <v>3.0</v>
      </c>
      <c r="F312" s="2">
        <v>0.0</v>
      </c>
      <c r="H312" s="2">
        <v>0.0</v>
      </c>
      <c r="J312" s="3" t="s">
        <v>1111</v>
      </c>
      <c r="K312" s="2" t="s">
        <v>1112</v>
      </c>
      <c r="U312" s="8" t="str">
        <f t="shared" si="1"/>
        <v>CALL InsertOrUpdateProducto('488','Cuchara de helado por kg','Cuchara de helado por kg','62','3','0','','0','','https://img.quodom.com.ar/producto/488.png','Z488','','','','');</v>
      </c>
    </row>
    <row r="313">
      <c r="A313" s="2">
        <v>489.0</v>
      </c>
      <c r="B313" s="2" t="s">
        <v>1113</v>
      </c>
      <c r="C313" s="2" t="s">
        <v>1113</v>
      </c>
      <c r="D313" s="2">
        <v>62.0</v>
      </c>
      <c r="E313" s="2">
        <v>3.0</v>
      </c>
      <c r="F313" s="2">
        <v>0.0</v>
      </c>
      <c r="H313" s="2">
        <v>0.0</v>
      </c>
      <c r="J313" s="3" t="s">
        <v>1114</v>
      </c>
      <c r="K313" s="2" t="s">
        <v>1115</v>
      </c>
      <c r="U313" s="8" t="str">
        <f t="shared" si="1"/>
        <v>CALL InsertOrUpdateProducto('489','Cuchara sundae por 100 unidades','Cuchara sundae por 100 unidades','62','3','0','','0','','https://img.quodom.com.ar/producto/489.png','Z489','','','','');</v>
      </c>
    </row>
    <row r="314">
      <c r="A314" s="2">
        <v>490.0</v>
      </c>
      <c r="B314" s="2" t="s">
        <v>1116</v>
      </c>
      <c r="C314" s="2" t="s">
        <v>1116</v>
      </c>
      <c r="D314" s="2">
        <v>62.0</v>
      </c>
      <c r="E314" s="2">
        <v>3.0</v>
      </c>
      <c r="F314" s="2">
        <v>0.0</v>
      </c>
      <c r="H314" s="2">
        <v>0.0</v>
      </c>
      <c r="J314" s="3" t="s">
        <v>1117</v>
      </c>
      <c r="K314" s="2" t="s">
        <v>1118</v>
      </c>
      <c r="U314" s="8" t="str">
        <f t="shared" si="1"/>
        <v>CALL InsertOrUpdateProducto('490','Cuchillo plástico por 100 unidades','Cuchillo plástico por 100 unidades','62','3','0','','0','','https://img.quodom.com.ar/producto/490.png','Z490','','','','');</v>
      </c>
    </row>
    <row r="315">
      <c r="A315" s="2">
        <v>491.0</v>
      </c>
      <c r="B315" s="2" t="s">
        <v>1116</v>
      </c>
      <c r="C315" s="2" t="s">
        <v>1116</v>
      </c>
      <c r="D315" s="2">
        <v>62.0</v>
      </c>
      <c r="E315" s="2">
        <v>3.0</v>
      </c>
      <c r="F315" s="2">
        <v>0.0</v>
      </c>
      <c r="H315" s="2">
        <v>0.0</v>
      </c>
      <c r="J315" s="3" t="s">
        <v>1119</v>
      </c>
      <c r="K315" s="2" t="s">
        <v>1120</v>
      </c>
      <c r="U315" s="8" t="str">
        <f t="shared" si="1"/>
        <v>CALL InsertOrUpdateProducto('491','Cuchillo plástico por 100 unidades','Cuchillo plástico por 100 unidades','62','3','0','','0','','https://img.quodom.com.ar/producto/491.png','Z491','','','','');</v>
      </c>
    </row>
    <row r="316">
      <c r="A316" s="2">
        <v>492.0</v>
      </c>
      <c r="B316" s="2" t="s">
        <v>1121</v>
      </c>
      <c r="C316" s="2" t="s">
        <v>1121</v>
      </c>
      <c r="D316" s="2">
        <v>62.0</v>
      </c>
      <c r="E316" s="2">
        <v>3.0</v>
      </c>
      <c r="F316" s="2">
        <v>0.0</v>
      </c>
      <c r="H316" s="2">
        <v>0.0</v>
      </c>
      <c r="J316" s="3" t="s">
        <v>1122</v>
      </c>
      <c r="K316" s="2" t="s">
        <v>1123</v>
      </c>
      <c r="U316" s="8" t="str">
        <f t="shared" si="1"/>
        <v>CALL InsertOrUpdateProducto('492','Tenedor plástico por 100 unidades','Tenedor plástico por 100 unidades','62','3','0','','0','','https://img.quodom.com.ar/producto/492.png','Z492','','','','');</v>
      </c>
    </row>
    <row r="317">
      <c r="A317" s="2">
        <v>493.0</v>
      </c>
      <c r="B317" s="2" t="s">
        <v>1124</v>
      </c>
      <c r="C317" s="2" t="s">
        <v>1124</v>
      </c>
      <c r="D317" s="2">
        <v>62.0</v>
      </c>
      <c r="E317" s="2">
        <v>3.0</v>
      </c>
      <c r="F317" s="2">
        <v>0.0</v>
      </c>
      <c r="H317" s="2">
        <v>0.0</v>
      </c>
      <c r="J317" s="3" t="s">
        <v>1125</v>
      </c>
      <c r="K317" s="2" t="s">
        <v>1126</v>
      </c>
      <c r="L317" s="2" t="s">
        <v>663</v>
      </c>
      <c r="U317" s="8" t="str">
        <f t="shared" si="1"/>
        <v>CALL InsertOrUpdateProducto('493','Plato descartable por 100 unidades','Plato descartable por 100 unidades','62','3','0','','0','','https://img.quodom.com.ar/producto/493.png','Z493','TAMAÑO','','','');</v>
      </c>
    </row>
    <row r="318">
      <c r="A318" s="2">
        <v>494.0</v>
      </c>
      <c r="B318" s="2" t="s">
        <v>1127</v>
      </c>
      <c r="C318" s="2" t="s">
        <v>1127</v>
      </c>
      <c r="D318" s="2">
        <v>62.0</v>
      </c>
      <c r="E318" s="2">
        <v>3.0</v>
      </c>
      <c r="F318" s="2">
        <v>0.0</v>
      </c>
      <c r="H318" s="2">
        <v>0.0</v>
      </c>
      <c r="J318" s="3" t="s">
        <v>1128</v>
      </c>
      <c r="K318" s="2" t="s">
        <v>1129</v>
      </c>
      <c r="L318" s="2" t="s">
        <v>1130</v>
      </c>
      <c r="U318" s="8" t="str">
        <f t="shared" si="1"/>
        <v>CALL InsertOrUpdateProducto('494','Pote para helado por 20 unidades','Pote para helado por 20 unidades','62','3','0','','0','','https://img.quodom.com.ar/producto/494.png','Z494','CAPACIDAD','','','');</v>
      </c>
    </row>
    <row r="319">
      <c r="A319" s="2">
        <v>495.0</v>
      </c>
      <c r="B319" s="2" t="s">
        <v>1131</v>
      </c>
      <c r="C319" s="2" t="s">
        <v>1131</v>
      </c>
      <c r="D319" s="2">
        <v>62.0</v>
      </c>
      <c r="E319" s="2">
        <v>3.0</v>
      </c>
      <c r="F319" s="2">
        <v>0.0</v>
      </c>
      <c r="H319" s="2">
        <v>0.0</v>
      </c>
      <c r="J319" s="3" t="s">
        <v>1132</v>
      </c>
      <c r="K319" s="2" t="s">
        <v>1133</v>
      </c>
      <c r="L319" s="2" t="s">
        <v>263</v>
      </c>
      <c r="U319" s="8" t="str">
        <f t="shared" si="1"/>
        <v>CALL InsertOrUpdateProducto('495','Separador folex por kg','Separador folex por kg','62','3','0','','0','','https://img.quodom.com.ar/producto/495.png','Z495','MEDIDAS','','','');</v>
      </c>
    </row>
    <row r="320">
      <c r="A320" s="2">
        <v>496.0</v>
      </c>
      <c r="B320" s="2" t="s">
        <v>1134</v>
      </c>
      <c r="C320" s="2" t="s">
        <v>1134</v>
      </c>
      <c r="D320" s="2">
        <v>62.0</v>
      </c>
      <c r="E320" s="2">
        <v>3.0</v>
      </c>
      <c r="F320" s="2">
        <v>0.0</v>
      </c>
      <c r="H320" s="2">
        <v>0.0</v>
      </c>
      <c r="J320" s="3" t="s">
        <v>1135</v>
      </c>
      <c r="K320" s="2" t="s">
        <v>1136</v>
      </c>
      <c r="L320" s="2" t="s">
        <v>263</v>
      </c>
      <c r="U320" s="8" t="str">
        <f t="shared" si="1"/>
        <v>CALL InsertOrUpdateProducto('496','Separador hamburguesa por kg','Separador hamburguesa por kg','62','3','0','','0','','https://img.quodom.com.ar/producto/496.png','Z496','MEDIDAS','','','');</v>
      </c>
    </row>
    <row r="321">
      <c r="A321" s="2">
        <v>497.0</v>
      </c>
      <c r="B321" s="2" t="s">
        <v>1137</v>
      </c>
      <c r="C321" s="2" t="s">
        <v>1137</v>
      </c>
      <c r="D321" s="2">
        <v>62.0</v>
      </c>
      <c r="E321" s="2">
        <v>3.0</v>
      </c>
      <c r="F321" s="2">
        <v>0.0</v>
      </c>
      <c r="H321" s="2">
        <v>0.0</v>
      </c>
      <c r="J321" s="3" t="s">
        <v>1138</v>
      </c>
      <c r="K321" s="2" t="s">
        <v>1139</v>
      </c>
      <c r="L321" s="2" t="s">
        <v>263</v>
      </c>
      <c r="U321" s="8" t="str">
        <f t="shared" si="1"/>
        <v>CALL InsertOrUpdateProducto('497','Film gastronómico','Film gastronómico','62','3','0','','0','','https://img.quodom.com.ar/producto/497.png','Z497','MEDIDAS','','','');</v>
      </c>
    </row>
    <row r="322">
      <c r="A322" s="2">
        <v>498.0</v>
      </c>
      <c r="B322" s="2" t="s">
        <v>1140</v>
      </c>
      <c r="C322" s="2" t="s">
        <v>1140</v>
      </c>
      <c r="D322" s="2">
        <v>22.0</v>
      </c>
      <c r="E322" s="2">
        <v>3.0</v>
      </c>
      <c r="F322" s="2">
        <v>0.0</v>
      </c>
      <c r="H322" s="2">
        <v>0.0</v>
      </c>
      <c r="J322" s="3" t="s">
        <v>1141</v>
      </c>
      <c r="K322" s="2" t="s">
        <v>1142</v>
      </c>
      <c r="U322" s="8" t="str">
        <f t="shared" si="1"/>
        <v>CALL InsertOrUpdateProducto('498','Pañuelo descartable caja 150 unidades','Pañuelo descartable caja 150 unidades','22','3','0','','0','','https://img.quodom.com.ar/producto/498.png','Z498','','','','');</v>
      </c>
    </row>
    <row r="323">
      <c r="A323" s="2">
        <v>499.0</v>
      </c>
      <c r="B323" s="2" t="s">
        <v>1143</v>
      </c>
      <c r="C323" s="2" t="s">
        <v>1143</v>
      </c>
      <c r="D323" s="2">
        <v>22.0</v>
      </c>
      <c r="E323" s="2">
        <v>3.0</v>
      </c>
      <c r="F323" s="2">
        <v>0.0</v>
      </c>
      <c r="H323" s="2">
        <v>0.0</v>
      </c>
      <c r="J323" s="3" t="s">
        <v>1144</v>
      </c>
      <c r="K323" s="2" t="s">
        <v>1145</v>
      </c>
      <c r="L323" s="2" t="s">
        <v>263</v>
      </c>
      <c r="U323" s="8" t="str">
        <f t="shared" si="1"/>
        <v>CALL InsertOrUpdateProducto('499','Papel higiénico simple hoja','Papel higiénico simple hoja','22','3','0','','0','','https://img.quodom.com.ar/producto/499.png','Z499','MEDIDAS','','','');</v>
      </c>
    </row>
    <row r="324">
      <c r="A324" s="2">
        <v>500.0</v>
      </c>
      <c r="B324" s="2" t="s">
        <v>1146</v>
      </c>
      <c r="C324" s="2" t="s">
        <v>1146</v>
      </c>
      <c r="D324" s="2">
        <v>22.0</v>
      </c>
      <c r="E324" s="2">
        <v>3.0</v>
      </c>
      <c r="F324" s="2">
        <v>0.0</v>
      </c>
      <c r="H324" s="2">
        <v>0.0</v>
      </c>
      <c r="J324" s="3" t="s">
        <v>1147</v>
      </c>
      <c r="K324" s="2" t="s">
        <v>1148</v>
      </c>
      <c r="L324" s="2" t="s">
        <v>263</v>
      </c>
      <c r="U324" s="8" t="str">
        <f t="shared" si="1"/>
        <v>CALL InsertOrUpdateProducto('500','Papel higiénico doble hoja','Papel higiénico doble hoja','22','3','0','','0','','https://img.quodom.com.ar/producto/500.png','Z500','MEDIDAS','','','');</v>
      </c>
    </row>
    <row r="325">
      <c r="A325" s="2">
        <v>501.0</v>
      </c>
      <c r="B325" s="2" t="s">
        <v>1149</v>
      </c>
      <c r="C325" s="2" t="s">
        <v>1149</v>
      </c>
      <c r="D325" s="2">
        <v>22.0</v>
      </c>
      <c r="E325" s="2">
        <v>3.0</v>
      </c>
      <c r="F325" s="2">
        <v>0.0</v>
      </c>
      <c r="H325" s="2">
        <v>0.0</v>
      </c>
      <c r="J325" s="3" t="s">
        <v>1150</v>
      </c>
      <c r="K325" s="2" t="s">
        <v>1151</v>
      </c>
      <c r="U325" s="8" t="str">
        <f t="shared" si="1"/>
        <v>CALL InsertOrUpdateProducto('501','Papel higiénico triple hoja 30 mts por 24 unidades','Papel higiénico triple hoja 30 mts por 24 unidades','22','3','0','','0','','https://img.quodom.com.ar/producto/501.png','Z501','','','','');</v>
      </c>
    </row>
    <row r="326">
      <c r="A326" s="2">
        <v>502.0</v>
      </c>
      <c r="B326" s="2" t="s">
        <v>1152</v>
      </c>
      <c r="C326" s="2" t="s">
        <v>1152</v>
      </c>
      <c r="D326" s="2">
        <v>22.0</v>
      </c>
      <c r="E326" s="2">
        <v>3.0</v>
      </c>
      <c r="F326" s="2">
        <v>0.0</v>
      </c>
      <c r="H326" s="2">
        <v>0.0</v>
      </c>
      <c r="J326" s="3" t="s">
        <v>1153</v>
      </c>
      <c r="K326" s="2" t="s">
        <v>1154</v>
      </c>
      <c r="L326" s="2" t="s">
        <v>581</v>
      </c>
      <c r="U326" s="8" t="str">
        <f t="shared" si="1"/>
        <v>CALL InsertOrUpdateProducto('502','Toalla intercalada por 2000 unidades','Toalla intercalada por 2000 unidades','22','3','0','','0','','https://img.quodom.com.ar/producto/502.png','Z502','COLOR','','','');</v>
      </c>
    </row>
    <row r="327">
      <c r="A327" s="2">
        <v>503.0</v>
      </c>
      <c r="B327" s="2" t="s">
        <v>1155</v>
      </c>
      <c r="C327" s="2" t="s">
        <v>1155</v>
      </c>
      <c r="D327" s="2">
        <v>22.0</v>
      </c>
      <c r="E327" s="2">
        <v>3.0</v>
      </c>
      <c r="F327" s="2">
        <v>0.0</v>
      </c>
      <c r="H327" s="2">
        <v>0.0</v>
      </c>
      <c r="J327" s="3" t="s">
        <v>1156</v>
      </c>
      <c r="K327" s="2" t="s">
        <v>1157</v>
      </c>
      <c r="L327" s="2" t="s">
        <v>263</v>
      </c>
      <c r="U327" s="8" t="str">
        <f t="shared" si="1"/>
        <v>CALL InsertOrUpdateProducto('503','Bolsas kraft por 50 unidades','Bolsas kraft por 50 unidades','22','3','0','','0','','https://img.quodom.com.ar/producto/503.png','Z503','MEDIDAS','','','');</v>
      </c>
    </row>
    <row r="328">
      <c r="A328" s="2">
        <v>504.0</v>
      </c>
      <c r="B328" s="2" t="s">
        <v>1158</v>
      </c>
      <c r="C328" s="2" t="s">
        <v>1158</v>
      </c>
      <c r="D328" s="2">
        <v>22.0</v>
      </c>
      <c r="E328" s="2">
        <v>3.0</v>
      </c>
      <c r="F328" s="2">
        <v>0.0</v>
      </c>
      <c r="H328" s="2">
        <v>0.0</v>
      </c>
      <c r="J328" s="3" t="s">
        <v>1159</v>
      </c>
      <c r="K328" s="2" t="s">
        <v>1160</v>
      </c>
      <c r="L328" s="2" t="s">
        <v>581</v>
      </c>
      <c r="M328" s="2" t="s">
        <v>263</v>
      </c>
      <c r="U328" s="8" t="str">
        <f t="shared" si="1"/>
        <v>CALL InsertOrUpdateProducto('504','Bolsa Acuario por 50 unidades','Bolsa Acuario por 50 unidades','22','3','0','','0','','https://img.quodom.com.ar/producto/504.png','Z504','COLOR','MEDIDAS','','');</v>
      </c>
    </row>
    <row r="329">
      <c r="A329" s="2">
        <v>505.0</v>
      </c>
      <c r="B329" s="2" t="s">
        <v>1161</v>
      </c>
      <c r="C329" s="2" t="s">
        <v>1161</v>
      </c>
      <c r="D329" s="2">
        <v>23.0</v>
      </c>
      <c r="E329" s="2">
        <v>3.0</v>
      </c>
      <c r="F329" s="2">
        <v>0.0</v>
      </c>
      <c r="H329" s="2">
        <v>0.0</v>
      </c>
      <c r="J329" s="3" t="s">
        <v>1162</v>
      </c>
      <c r="K329" s="2" t="s">
        <v>1163</v>
      </c>
      <c r="L329" s="2" t="s">
        <v>263</v>
      </c>
      <c r="U329" s="8" t="str">
        <f t="shared" si="1"/>
        <v>CALL InsertOrUpdateProducto('505','Caja de cartón por 25 unidades','Caja de cartón por 25 unidades','23','3','0','','0','','https://img.quodom.com.ar/producto/505.png','Z505','MEDIDAS','','','');</v>
      </c>
    </row>
    <row r="330">
      <c r="A330" s="2">
        <v>506.0</v>
      </c>
      <c r="B330" s="2" t="s">
        <v>1164</v>
      </c>
      <c r="C330" s="2" t="s">
        <v>1164</v>
      </c>
      <c r="D330" s="2">
        <v>23.0</v>
      </c>
      <c r="E330" s="2">
        <v>3.0</v>
      </c>
      <c r="F330" s="2">
        <v>0.0</v>
      </c>
      <c r="H330" s="2">
        <v>0.0</v>
      </c>
      <c r="J330" s="3" t="s">
        <v>1165</v>
      </c>
      <c r="K330" s="2" t="s">
        <v>1166</v>
      </c>
      <c r="L330" s="2" t="s">
        <v>1130</v>
      </c>
      <c r="U330" s="8" t="str">
        <f t="shared" si="1"/>
        <v>CALL InsertOrUpdateProducto('506','Caja para masas por 10 unidades','Caja para masas por 10 unidades','23','3','0','','0','','https://img.quodom.com.ar/producto/506.png','Z506','CAPACIDAD','','','');</v>
      </c>
    </row>
    <row r="331">
      <c r="A331" s="2">
        <v>507.0</v>
      </c>
      <c r="B331" s="2" t="s">
        <v>1167</v>
      </c>
      <c r="C331" s="2" t="s">
        <v>1167</v>
      </c>
      <c r="D331" s="2">
        <v>23.0</v>
      </c>
      <c r="E331" s="2">
        <v>3.0</v>
      </c>
      <c r="F331" s="2">
        <v>0.0</v>
      </c>
      <c r="H331" s="2">
        <v>0.0</v>
      </c>
      <c r="J331" s="3" t="s">
        <v>1168</v>
      </c>
      <c r="K331" s="2" t="s">
        <v>1169</v>
      </c>
      <c r="L331" s="2" t="s">
        <v>663</v>
      </c>
      <c r="U331" s="8" t="str">
        <f t="shared" si="1"/>
        <v>CALL InsertOrUpdateProducto('507','Caja para pizzas por 10 unidades','Caja para pizzas por 10 unidades','23','3','0','','0','','https://img.quodom.com.ar/producto/507.png','Z507','TAMAÑO','','','');</v>
      </c>
    </row>
    <row r="332">
      <c r="A332" s="2">
        <v>508.0</v>
      </c>
      <c r="B332" s="2" t="s">
        <v>1170</v>
      </c>
      <c r="C332" s="2" t="s">
        <v>1170</v>
      </c>
      <c r="D332" s="2">
        <v>23.0</v>
      </c>
      <c r="E332" s="2">
        <v>3.0</v>
      </c>
      <c r="F332" s="2">
        <v>0.0</v>
      </c>
      <c r="H332" s="2">
        <v>0.0</v>
      </c>
      <c r="J332" s="3" t="s">
        <v>1171</v>
      </c>
      <c r="K332" s="2" t="s">
        <v>1172</v>
      </c>
      <c r="L332" s="2" t="s">
        <v>263</v>
      </c>
      <c r="U332" s="8" t="str">
        <f t="shared" si="1"/>
        <v>CALL InsertOrUpdateProducto('508','Caja para empanadas por 10 unidades','Caja para empanadas por 10 unidades','23','3','0','','0','','https://img.quodom.com.ar/producto/508.png','Z508','MEDIDAS','','','');</v>
      </c>
    </row>
    <row r="333">
      <c r="A333" s="2">
        <v>509.0</v>
      </c>
      <c r="B333" s="2" t="s">
        <v>1173</v>
      </c>
      <c r="C333" s="2" t="s">
        <v>1173</v>
      </c>
      <c r="D333" s="2">
        <v>23.0</v>
      </c>
      <c r="E333" s="2">
        <v>3.0</v>
      </c>
      <c r="F333" s="2">
        <v>0.0</v>
      </c>
      <c r="H333" s="2">
        <v>0.0</v>
      </c>
      <c r="J333" s="3" t="s">
        <v>1174</v>
      </c>
      <c r="K333" s="2" t="s">
        <v>1175</v>
      </c>
      <c r="L333" s="2" t="s">
        <v>263</v>
      </c>
      <c r="U333" s="8" t="str">
        <f t="shared" si="1"/>
        <v>CALL InsertOrUpdateProducto('509','Caja para torta por 10 unidades','Caja para torta por 10 unidades','23','3','0','','0','','https://img.quodom.com.ar/producto/509.png','Z509','MEDIDAS','','','');</v>
      </c>
    </row>
    <row r="334">
      <c r="A334" s="2">
        <v>510.0</v>
      </c>
      <c r="B334" s="2" t="s">
        <v>1176</v>
      </c>
      <c r="C334" s="2" t="s">
        <v>1176</v>
      </c>
      <c r="D334" s="2">
        <v>23.0</v>
      </c>
      <c r="E334" s="2">
        <v>3.0</v>
      </c>
      <c r="F334" s="2">
        <v>0.0</v>
      </c>
      <c r="H334" s="2">
        <v>0.0</v>
      </c>
      <c r="J334" s="3" t="s">
        <v>1177</v>
      </c>
      <c r="K334" s="2" t="s">
        <v>1178</v>
      </c>
      <c r="U334" s="8" t="str">
        <f t="shared" si="1"/>
        <v>CALL InsertOrUpdateProducto('510','Caja torta ORO por 10 unidades 27x27x10 cm','Caja torta ORO por 10 unidades 27x27x10 cm','23','3','0','','0','','https://img.quodom.com.ar/producto/510.png','Z510','','','','');</v>
      </c>
    </row>
    <row r="335">
      <c r="A335" s="2">
        <v>511.0</v>
      </c>
      <c r="B335" s="2" t="s">
        <v>1179</v>
      </c>
      <c r="C335" s="2" t="s">
        <v>1179</v>
      </c>
      <c r="D335" s="2">
        <v>23.0</v>
      </c>
      <c r="E335" s="2">
        <v>3.0</v>
      </c>
      <c r="F335" s="2">
        <v>0.0</v>
      </c>
      <c r="H335" s="2">
        <v>0.0</v>
      </c>
      <c r="J335" s="3" t="s">
        <v>1180</v>
      </c>
      <c r="K335" s="2" t="s">
        <v>1181</v>
      </c>
      <c r="L335" s="2" t="s">
        <v>263</v>
      </c>
      <c r="U335" s="8" t="str">
        <f t="shared" si="1"/>
        <v>CALL InsertOrUpdateProducto('511','Cartón corrugado 25 metros','Cartón corrugado 25 metros','23','3','0','','0','','https://img.quodom.com.ar/producto/511.png','Z511','MEDIDAS','','','');</v>
      </c>
    </row>
    <row r="336">
      <c r="A336" s="2">
        <v>512.0</v>
      </c>
      <c r="B336" s="2" t="s">
        <v>1182</v>
      </c>
      <c r="C336" s="2" t="s">
        <v>1182</v>
      </c>
      <c r="D336" s="2">
        <v>23.0</v>
      </c>
      <c r="E336" s="2">
        <v>3.0</v>
      </c>
      <c r="F336" s="2">
        <v>0.0</v>
      </c>
      <c r="H336" s="2">
        <v>0.0</v>
      </c>
      <c r="J336" s="3" t="s">
        <v>1183</v>
      </c>
      <c r="K336" s="2" t="s">
        <v>1184</v>
      </c>
      <c r="L336" s="2" t="s">
        <v>263</v>
      </c>
      <c r="U336" s="8" t="str">
        <f t="shared" si="1"/>
        <v>CALL InsertOrUpdateProducto('512','Film stretch virgen transparente','Film stretch virgen transparente','23','3','0','','0','','https://img.quodom.com.ar/producto/512.png','Z512','MEDIDAS','','','');</v>
      </c>
    </row>
    <row r="337">
      <c r="A337" s="2">
        <v>513.0</v>
      </c>
      <c r="B337" s="2" t="s">
        <v>1185</v>
      </c>
      <c r="C337" s="2" t="s">
        <v>1185</v>
      </c>
      <c r="D337" s="2">
        <v>23.0</v>
      </c>
      <c r="E337" s="2">
        <v>3.0</v>
      </c>
      <c r="F337" s="2">
        <v>0.0</v>
      </c>
      <c r="H337" s="2">
        <v>0.0</v>
      </c>
      <c r="J337" s="3" t="s">
        <v>1186</v>
      </c>
      <c r="K337" s="2" t="s">
        <v>1187</v>
      </c>
      <c r="L337" s="2" t="s">
        <v>263</v>
      </c>
      <c r="U337" s="8" t="str">
        <f t="shared" si="1"/>
        <v>CALL InsertOrUpdateProducto('513','Film stretch virgen negro','Film stretch virgen negro','23','3','0','','0','','https://img.quodom.com.ar/producto/513.png','Z513','MEDIDAS','','','');</v>
      </c>
    </row>
    <row r="338">
      <c r="A338" s="2">
        <v>514.0</v>
      </c>
      <c r="B338" s="2" t="s">
        <v>1188</v>
      </c>
      <c r="C338" s="2" t="s">
        <v>1188</v>
      </c>
      <c r="D338" s="2">
        <v>23.0</v>
      </c>
      <c r="E338" s="2">
        <v>3.0</v>
      </c>
      <c r="F338" s="2">
        <v>0.0</v>
      </c>
      <c r="H338" s="2">
        <v>0.0</v>
      </c>
      <c r="J338" s="3" t="s">
        <v>1189</v>
      </c>
      <c r="K338" s="2" t="s">
        <v>1190</v>
      </c>
      <c r="U338" s="8" t="str">
        <f t="shared" si="1"/>
        <v>CALL InsertOrUpdateProducto('514','Film stretch virgen con mango 50 cm por 1000 mts','Film stretch virgen con mango 50 cm por 1000 mts','23','3','0','','0','','https://img.quodom.com.ar/producto/514.png','Z514','','','','');</v>
      </c>
    </row>
    <row r="339">
      <c r="A339" s="2">
        <v>515.0</v>
      </c>
      <c r="B339" s="2" t="s">
        <v>1191</v>
      </c>
      <c r="C339" s="2" t="s">
        <v>1191</v>
      </c>
      <c r="D339" s="2">
        <v>23.0</v>
      </c>
      <c r="E339" s="2">
        <v>3.0</v>
      </c>
      <c r="F339" s="2">
        <v>0.0</v>
      </c>
      <c r="H339" s="2">
        <v>0.0</v>
      </c>
      <c r="J339" s="3" t="s">
        <v>1192</v>
      </c>
      <c r="K339" s="2" t="s">
        <v>1193</v>
      </c>
      <c r="L339" s="2" t="s">
        <v>263</v>
      </c>
      <c r="U339" s="8" t="str">
        <f t="shared" si="1"/>
        <v>CALL InsertOrUpdateProducto('515','Fleje plástico por kg','Fleje plástico por kg','23','3','0','','0','','https://img.quodom.com.ar/producto/515.png','Z515','MEDIDAS','','','');</v>
      </c>
    </row>
    <row r="340">
      <c r="A340" s="2">
        <v>516.0</v>
      </c>
      <c r="B340" s="2" t="s">
        <v>1194</v>
      </c>
      <c r="C340" s="2" t="s">
        <v>1194</v>
      </c>
      <c r="D340" s="2">
        <v>23.0</v>
      </c>
      <c r="E340" s="2">
        <v>3.0</v>
      </c>
      <c r="F340" s="2">
        <v>0.0</v>
      </c>
      <c r="H340" s="2">
        <v>0.0</v>
      </c>
      <c r="J340" s="3" t="s">
        <v>1195</v>
      </c>
      <c r="K340" s="2" t="s">
        <v>1196</v>
      </c>
      <c r="L340" s="2" t="s">
        <v>263</v>
      </c>
      <c r="U340" s="8" t="str">
        <f t="shared" si="1"/>
        <v>CALL InsertOrUpdateProducto('516','Grampa para fleje plástico por kg','Grampa para fleje plástico por kg','23','3','0','','0','','https://img.quodom.com.ar/producto/516.png','Z516','MEDIDAS','','','');</v>
      </c>
    </row>
    <row r="341">
      <c r="A341" s="2">
        <v>517.0</v>
      </c>
      <c r="B341" s="2" t="s">
        <v>1197</v>
      </c>
      <c r="C341" s="2" t="s">
        <v>1197</v>
      </c>
      <c r="D341" s="2">
        <v>23.0</v>
      </c>
      <c r="E341" s="2">
        <v>3.0</v>
      </c>
      <c r="F341" s="2">
        <v>0.0</v>
      </c>
      <c r="H341" s="2">
        <v>0.0</v>
      </c>
      <c r="J341" s="3" t="s">
        <v>1198</v>
      </c>
      <c r="K341" s="2" t="s">
        <v>1199</v>
      </c>
      <c r="L341" s="2" t="s">
        <v>263</v>
      </c>
      <c r="U341" s="8" t="str">
        <f t="shared" si="1"/>
        <v>CALL InsertOrUpdateProducto('517','Hebilla para fleje por kg','Hebilla para fleje por kg','23','3','0','','0','','https://img.quodom.com.ar/producto/517.png','Z517','MEDIDAS','','','');</v>
      </c>
    </row>
    <row r="342">
      <c r="A342" s="2">
        <v>518.0</v>
      </c>
      <c r="B342" s="2" t="s">
        <v>1200</v>
      </c>
      <c r="C342" s="2" t="s">
        <v>1200</v>
      </c>
      <c r="D342" s="2">
        <v>23.0</v>
      </c>
      <c r="E342" s="2">
        <v>3.0</v>
      </c>
      <c r="F342" s="2">
        <v>0.0</v>
      </c>
      <c r="H342" s="2">
        <v>0.0</v>
      </c>
      <c r="J342" s="3" t="s">
        <v>1201</v>
      </c>
      <c r="K342" s="2" t="s">
        <v>1202</v>
      </c>
      <c r="U342" s="8" t="str">
        <f t="shared" si="1"/>
        <v>CALL InsertOrUpdateProducto('518','Dispenser para bobina','Dispenser para bobina','23','3','0','','0','','https://img.quodom.com.ar/producto/518.png','Z518','','','','');</v>
      </c>
    </row>
    <row r="343">
      <c r="A343" s="2">
        <v>519.0</v>
      </c>
      <c r="B343" s="2" t="s">
        <v>1203</v>
      </c>
      <c r="C343" s="2" t="s">
        <v>1203</v>
      </c>
      <c r="D343" s="2">
        <v>23.0</v>
      </c>
      <c r="E343" s="2">
        <v>3.0</v>
      </c>
      <c r="F343" s="2">
        <v>0.0</v>
      </c>
      <c r="H343" s="2">
        <v>0.0</v>
      </c>
      <c r="J343" s="3" t="s">
        <v>1204</v>
      </c>
      <c r="K343" s="2" t="s">
        <v>1205</v>
      </c>
      <c r="L343" s="2" t="s">
        <v>259</v>
      </c>
      <c r="U343" s="8" t="str">
        <f t="shared" si="1"/>
        <v>CALL InsertOrUpdateProducto('519','Hilo de algodón por rollo','Hilo de algodón por rollo','23','3','0','','0','','https://img.quodom.com.ar/producto/519.png','Z519','TIPO','','','');</v>
      </c>
    </row>
    <row r="344">
      <c r="A344" s="2">
        <v>520.0</v>
      </c>
      <c r="B344" s="2" t="s">
        <v>1206</v>
      </c>
      <c r="C344" s="2" t="s">
        <v>1206</v>
      </c>
      <c r="D344" s="2">
        <v>23.0</v>
      </c>
      <c r="E344" s="2">
        <v>3.0</v>
      </c>
      <c r="F344" s="2">
        <v>0.0</v>
      </c>
      <c r="H344" s="2">
        <v>0.0</v>
      </c>
      <c r="J344" s="3" t="s">
        <v>1207</v>
      </c>
      <c r="K344" s="2" t="s">
        <v>1208</v>
      </c>
      <c r="U344" s="8" t="str">
        <f t="shared" si="1"/>
        <v>CALL InsertOrUpdateProducto('520','Hilo choricero por rollo','Hilo choricero por rollo','23','3','0','','0','','https://img.quodom.com.ar/producto/520.png','Z520','','','','');</v>
      </c>
    </row>
    <row r="345">
      <c r="A345" s="2">
        <v>521.0</v>
      </c>
      <c r="B345" s="2" t="s">
        <v>1209</v>
      </c>
      <c r="C345" s="2" t="s">
        <v>1209</v>
      </c>
      <c r="D345" s="2">
        <v>23.0</v>
      </c>
      <c r="E345" s="2">
        <v>3.0</v>
      </c>
      <c r="F345" s="2">
        <v>0.0</v>
      </c>
      <c r="H345" s="2">
        <v>0.0</v>
      </c>
      <c r="J345" s="3" t="s">
        <v>1210</v>
      </c>
      <c r="K345" s="2" t="s">
        <v>1211</v>
      </c>
      <c r="U345" s="8" t="str">
        <f t="shared" si="1"/>
        <v>CALL InsertOrUpdateProducto('521','Hilo cinta por kg','Hilo cinta por kg','23','3','0','','0','','https://img.quodom.com.ar/producto/521.png','Z521','','','','');</v>
      </c>
    </row>
    <row r="346">
      <c r="A346" s="2">
        <v>522.0</v>
      </c>
      <c r="B346" s="2" t="s">
        <v>1212</v>
      </c>
      <c r="C346" s="2" t="s">
        <v>1212</v>
      </c>
      <c r="D346" s="2">
        <v>23.0</v>
      </c>
      <c r="E346" s="2">
        <v>3.0</v>
      </c>
      <c r="F346" s="2">
        <v>0.0</v>
      </c>
      <c r="H346" s="2">
        <v>0.0</v>
      </c>
      <c r="J346" s="3" t="s">
        <v>1213</v>
      </c>
      <c r="K346" s="2" t="s">
        <v>1214</v>
      </c>
      <c r="L346" s="2" t="s">
        <v>263</v>
      </c>
      <c r="U346" s="8" t="str">
        <f t="shared" si="1"/>
        <v>CALL InsertOrUpdateProducto('522','Papel sulfito resma por kilo','Papel sulfito resma por kilo','23','3','0','','0','','https://img.quodom.com.ar/producto/522.png','Z522','MEDIDAS','','','');</v>
      </c>
    </row>
    <row r="347">
      <c r="A347" s="2">
        <v>523.0</v>
      </c>
      <c r="B347" s="2" t="s">
        <v>1215</v>
      </c>
      <c r="C347" s="2" t="s">
        <v>1215</v>
      </c>
      <c r="D347" s="2">
        <v>23.0</v>
      </c>
      <c r="E347" s="2">
        <v>3.0</v>
      </c>
      <c r="F347" s="2">
        <v>0.0</v>
      </c>
      <c r="H347" s="2">
        <v>0.0</v>
      </c>
      <c r="J347" s="3" t="s">
        <v>1216</v>
      </c>
      <c r="K347" s="2" t="s">
        <v>1217</v>
      </c>
      <c r="L347" s="2" t="s">
        <v>263</v>
      </c>
      <c r="U347" s="8" t="str">
        <f t="shared" si="1"/>
        <v>CALL InsertOrUpdateProducto('523','Papel sulfito bobina','Papel sulfito bobina','23','3','0','','0','','https://img.quodom.com.ar/producto/523.png','Z523','MEDIDAS','','','');</v>
      </c>
    </row>
    <row r="348">
      <c r="A348" s="2">
        <v>524.0</v>
      </c>
      <c r="B348" s="2" t="s">
        <v>1218</v>
      </c>
      <c r="C348" s="2" t="s">
        <v>1218</v>
      </c>
      <c r="D348" s="2">
        <v>23.0</v>
      </c>
      <c r="E348" s="2">
        <v>3.0</v>
      </c>
      <c r="F348" s="2">
        <v>0.0</v>
      </c>
      <c r="H348" s="2">
        <v>0.0</v>
      </c>
      <c r="J348" s="3" t="s">
        <v>1219</v>
      </c>
      <c r="K348" s="2" t="s">
        <v>1220</v>
      </c>
      <c r="L348" s="2" t="s">
        <v>263</v>
      </c>
      <c r="U348" s="8" t="str">
        <f t="shared" si="1"/>
        <v>CALL InsertOrUpdateProducto('524','Pluribol cristal - Burbujas','Pluribol cristal - Burbujas','23','3','0','','0','','https://img.quodom.com.ar/producto/524.png','Z524','MEDIDAS','','','');</v>
      </c>
    </row>
    <row r="349">
      <c r="A349" s="2">
        <v>525.0</v>
      </c>
      <c r="B349" s="2" t="s">
        <v>1221</v>
      </c>
      <c r="C349" s="2" t="s">
        <v>1221</v>
      </c>
      <c r="D349" s="2">
        <v>24.0</v>
      </c>
      <c r="E349" s="2">
        <v>3.0</v>
      </c>
      <c r="F349" s="2">
        <v>0.0</v>
      </c>
      <c r="H349" s="2">
        <v>0.0</v>
      </c>
      <c r="J349" s="3" t="s">
        <v>1222</v>
      </c>
      <c r="K349" s="2" t="s">
        <v>1223</v>
      </c>
      <c r="U349" s="8" t="str">
        <f t="shared" si="1"/>
        <v>CALL InsertOrUpdateProducto('525','Cinta transparente 48 mm por 100 mts por 10 unidades','Cinta transparente 48 mm por 100 mts por 10 unidades','24','3','0','','0','','https://img.quodom.com.ar/producto/525.png','Z525','','','','');</v>
      </c>
    </row>
    <row r="350">
      <c r="A350" s="2">
        <v>526.0</v>
      </c>
      <c r="B350" s="2" t="s">
        <v>1224</v>
      </c>
      <c r="C350" s="2" t="s">
        <v>1224</v>
      </c>
      <c r="D350" s="2">
        <v>24.0</v>
      </c>
      <c r="E350" s="2">
        <v>3.0</v>
      </c>
      <c r="F350" s="2">
        <v>0.0</v>
      </c>
      <c r="H350" s="2">
        <v>0.0</v>
      </c>
      <c r="J350" s="3" t="s">
        <v>1225</v>
      </c>
      <c r="K350" s="2" t="s">
        <v>1226</v>
      </c>
      <c r="U350" s="8" t="str">
        <f t="shared" si="1"/>
        <v>CALL InsertOrUpdateProducto('526','Cinta transparente 24 mm por 50 mts por 10 unidades','Cinta transparente 24 mm por 50 mts por 10 unidades','24','3','0','','0','','https://img.quodom.com.ar/producto/526.png','Z526','','','','');</v>
      </c>
    </row>
    <row r="351">
      <c r="A351" s="2">
        <v>527.0</v>
      </c>
      <c r="B351" s="2" t="s">
        <v>1227</v>
      </c>
      <c r="C351" s="2" t="s">
        <v>1227</v>
      </c>
      <c r="D351" s="2">
        <v>24.0</v>
      </c>
      <c r="E351" s="2">
        <v>3.0</v>
      </c>
      <c r="F351" s="2">
        <v>0.0</v>
      </c>
      <c r="H351" s="2">
        <v>0.0</v>
      </c>
      <c r="J351" s="3" t="s">
        <v>1228</v>
      </c>
      <c r="K351" s="2" t="s">
        <v>1229</v>
      </c>
      <c r="L351" s="2" t="s">
        <v>263</v>
      </c>
      <c r="U351" s="8" t="str">
        <f t="shared" si="1"/>
        <v>CALL InsertOrUpdateProducto('527','Cinta transparente 12 mm 10 unidades','Cinta transparente 12 mm 10 unidades','24','3','0','','0','','https://img.quodom.com.ar/producto/527.png','Z527','MEDIDAS','','','');</v>
      </c>
    </row>
    <row r="352">
      <c r="A352" s="2">
        <v>528.0</v>
      </c>
      <c r="B352" s="2" t="s">
        <v>1230</v>
      </c>
      <c r="C352" s="2" t="s">
        <v>1230</v>
      </c>
      <c r="D352" s="2">
        <v>24.0</v>
      </c>
      <c r="E352" s="2">
        <v>3.0</v>
      </c>
      <c r="F352" s="2">
        <v>0.0</v>
      </c>
      <c r="H352" s="2">
        <v>0.0</v>
      </c>
      <c r="J352" s="3" t="s">
        <v>1231</v>
      </c>
      <c r="K352" s="2" t="s">
        <v>1232</v>
      </c>
      <c r="U352" s="8" t="str">
        <f t="shared" si="1"/>
        <v>CALL InsertOrUpdateProducto('528','Cinta marrón 48 mm por 100 mts por 10 unidades','Cinta marrón 48 mm por 100 mts por 10 unidades','24','3','0','','0','','https://img.quodom.com.ar/producto/528.png','Z528','','','','');</v>
      </c>
    </row>
    <row r="353">
      <c r="A353" s="2">
        <v>529.0</v>
      </c>
      <c r="B353" s="2" t="s">
        <v>1233</v>
      </c>
      <c r="C353" s="2" t="s">
        <v>1233</v>
      </c>
      <c r="D353" s="2">
        <v>24.0</v>
      </c>
      <c r="E353" s="2">
        <v>3.0</v>
      </c>
      <c r="F353" s="2">
        <v>0.0</v>
      </c>
      <c r="H353" s="2">
        <v>0.0</v>
      </c>
      <c r="J353" s="3" t="s">
        <v>1234</v>
      </c>
      <c r="K353" s="2" t="s">
        <v>1235</v>
      </c>
      <c r="U353" s="8" t="str">
        <f t="shared" si="1"/>
        <v>CALL InsertOrUpdateProducto('529','Cinta silver 48 mm por 9 mts por 10 unidades','Cinta silver 48 mm por 9 mts por 10 unidades','24','3','0','','0','','https://img.quodom.com.ar/producto/529.png','Z529','','','','');</v>
      </c>
    </row>
    <row r="354">
      <c r="A354" s="2">
        <v>530.0</v>
      </c>
      <c r="B354" s="2" t="s">
        <v>1236</v>
      </c>
      <c r="C354" s="2" t="s">
        <v>1236</v>
      </c>
      <c r="D354" s="2">
        <v>24.0</v>
      </c>
      <c r="E354" s="2">
        <v>3.0</v>
      </c>
      <c r="F354" s="2">
        <v>0.0</v>
      </c>
      <c r="H354" s="2">
        <v>0.0</v>
      </c>
      <c r="J354" s="3" t="s">
        <v>1237</v>
      </c>
      <c r="K354" s="2" t="s">
        <v>1238</v>
      </c>
      <c r="L354" s="2" t="s">
        <v>263</v>
      </c>
      <c r="U354" s="8" t="str">
        <f t="shared" si="1"/>
        <v>CALL InsertOrUpdateProducto('530','Cinta de papel por 30 mts por 10 unidades','Cinta de papel por 30 mts por 10 unidades','24','3','0','','0','','https://img.quodom.com.ar/producto/530.png','Z530','MEDIDAS','','','');</v>
      </c>
    </row>
    <row r="355">
      <c r="A355" s="2">
        <v>531.0</v>
      </c>
      <c r="B355" s="2" t="s">
        <v>1239</v>
      </c>
      <c r="C355" s="2" t="s">
        <v>1239</v>
      </c>
      <c r="D355" s="2">
        <v>24.0</v>
      </c>
      <c r="E355" s="2">
        <v>3.0</v>
      </c>
      <c r="F355" s="2">
        <v>0.0</v>
      </c>
      <c r="H355" s="2">
        <v>0.0</v>
      </c>
      <c r="J355" s="3" t="s">
        <v>1240</v>
      </c>
      <c r="K355" s="2" t="s">
        <v>1241</v>
      </c>
      <c r="L355" s="2" t="s">
        <v>263</v>
      </c>
      <c r="U355" s="8" t="str">
        <f t="shared" si="1"/>
        <v>CALL InsertOrUpdateProducto('531','Cinta de papel doble faz por 30 mts por 10 unidades','Cinta de papel doble faz por 30 mts por 10 unidades','24','3','0','','0','','https://img.quodom.com.ar/producto/531.png','Z531','MEDIDAS','','','');</v>
      </c>
    </row>
    <row r="356">
      <c r="A356" s="2">
        <v>532.0</v>
      </c>
      <c r="B356" s="2" t="s">
        <v>1242</v>
      </c>
      <c r="C356" s="2" t="s">
        <v>1242</v>
      </c>
      <c r="D356" s="2">
        <v>24.0</v>
      </c>
      <c r="E356" s="2">
        <v>3.0</v>
      </c>
      <c r="F356" s="2">
        <v>0.0</v>
      </c>
      <c r="H356" s="2">
        <v>0.0</v>
      </c>
      <c r="J356" s="3" t="s">
        <v>1243</v>
      </c>
      <c r="K356" s="2" t="s">
        <v>1244</v>
      </c>
      <c r="U356" s="8" t="str">
        <f t="shared" si="1"/>
        <v>CALL InsertOrUpdateProducto('532','Cinta Frágil 48 mm por 50 mts por 10 unidades','Cinta Frágil 48 mm por 50 mts por 10 unidades','24','3','0','','0','','https://img.quodom.com.ar/producto/532.png','Z532','','','','');</v>
      </c>
    </row>
    <row r="357">
      <c r="A357" s="2">
        <v>533.0</v>
      </c>
      <c r="B357" s="2" t="s">
        <v>1245</v>
      </c>
      <c r="C357" s="2" t="s">
        <v>1245</v>
      </c>
      <c r="D357" s="2">
        <v>24.0</v>
      </c>
      <c r="E357" s="2">
        <v>3.0</v>
      </c>
      <c r="F357" s="2">
        <v>0.0</v>
      </c>
      <c r="H357" s="2">
        <v>0.0</v>
      </c>
      <c r="J357" s="3" t="s">
        <v>1246</v>
      </c>
      <c r="K357" s="2" t="s">
        <v>1247</v>
      </c>
      <c r="U357" s="8" t="str">
        <f t="shared" si="1"/>
        <v>CALL InsertOrUpdateProducto('533','Racionador de cinta 48 mm','Racionador de cinta 48 mm','24','3','0','','0','','https://img.quodom.com.ar/producto/533.png','Z533','','','','');</v>
      </c>
    </row>
    <row r="358">
      <c r="A358" s="2">
        <v>534.0</v>
      </c>
      <c r="B358" s="2" t="s">
        <v>1248</v>
      </c>
      <c r="C358" s="2" t="s">
        <v>1248</v>
      </c>
      <c r="D358" s="2">
        <v>24.0</v>
      </c>
      <c r="E358" s="2">
        <v>3.0</v>
      </c>
      <c r="F358" s="2">
        <v>0.0</v>
      </c>
      <c r="H358" s="2">
        <v>0.0</v>
      </c>
      <c r="J358" s="3" t="s">
        <v>1249</v>
      </c>
      <c r="K358" s="2" t="s">
        <v>1250</v>
      </c>
      <c r="U358" s="8" t="str">
        <f t="shared" si="1"/>
        <v>CALL InsertOrUpdateProducto('534','Porta cinta','Porta cinta','24','3','0','','0','','https://img.quodom.com.ar/producto/534.png','Z534','','','','');</v>
      </c>
    </row>
    <row r="359">
      <c r="A359" s="2">
        <v>535.0</v>
      </c>
      <c r="B359" s="2" t="s">
        <v>1251</v>
      </c>
      <c r="C359" s="2" t="s">
        <v>1251</v>
      </c>
      <c r="D359" s="2">
        <v>25.0</v>
      </c>
      <c r="E359" s="2">
        <v>3.0</v>
      </c>
      <c r="F359" s="2">
        <v>0.0</v>
      </c>
      <c r="H359" s="2">
        <v>0.0</v>
      </c>
      <c r="J359" s="3" t="s">
        <v>1252</v>
      </c>
      <c r="K359" s="2" t="s">
        <v>1253</v>
      </c>
      <c r="L359" s="2" t="s">
        <v>581</v>
      </c>
      <c r="M359" s="2" t="s">
        <v>263</v>
      </c>
      <c r="U359" s="8" t="str">
        <f t="shared" si="1"/>
        <v>CALL InsertOrUpdateProducto('535','Bolsa de consorcio por 50 unidades','Bolsa de consorcio por 50 unidades','25','3','0','','0','','https://img.quodom.com.ar/producto/535.png','Z535','COLOR','MEDIDAS','','');</v>
      </c>
    </row>
    <row r="360">
      <c r="A360" s="2">
        <v>536.0</v>
      </c>
      <c r="B360" s="2" t="s">
        <v>1254</v>
      </c>
      <c r="C360" s="2" t="s">
        <v>1254</v>
      </c>
      <c r="D360" s="2">
        <v>25.0</v>
      </c>
      <c r="E360" s="2">
        <v>3.0</v>
      </c>
      <c r="F360" s="2">
        <v>0.0</v>
      </c>
      <c r="H360" s="2">
        <v>0.0</v>
      </c>
      <c r="J360" s="3" t="s">
        <v>1255</v>
      </c>
      <c r="K360" s="2" t="s">
        <v>1256</v>
      </c>
      <c r="U360" s="8" t="str">
        <f t="shared" si="1"/>
        <v>CALL InsertOrUpdateProducto('536','Bolsa para escombros 45 x 70 cm por 50 unidades','Bolsa para escombros 45 x 70 cm por 50 unidades','25','3','0','','0','','https://img.quodom.com.ar/producto/536.png','Z536','','','','');</v>
      </c>
    </row>
    <row r="361">
      <c r="A361" s="2">
        <v>537.0</v>
      </c>
      <c r="B361" s="2" t="s">
        <v>1257</v>
      </c>
      <c r="C361" s="2" t="s">
        <v>1257</v>
      </c>
      <c r="D361" s="2">
        <v>25.0</v>
      </c>
      <c r="E361" s="2">
        <v>3.0</v>
      </c>
      <c r="F361" s="2">
        <v>0.0</v>
      </c>
      <c r="H361" s="2">
        <v>0.0</v>
      </c>
      <c r="J361" s="3" t="s">
        <v>1258</v>
      </c>
      <c r="K361" s="2" t="s">
        <v>1259</v>
      </c>
      <c r="L361" s="2" t="s">
        <v>263</v>
      </c>
      <c r="U361" s="8" t="str">
        <f t="shared" si="1"/>
        <v>CALL InsertOrUpdateProducto('537','Bolsa riñón por 50 unidades','Bolsa riñón por 50 unidades','25','3','0','','0','','https://img.quodom.com.ar/producto/537.png','Z537','MEDIDAS','','','');</v>
      </c>
    </row>
    <row r="362">
      <c r="A362" s="2">
        <v>538.0</v>
      </c>
      <c r="B362" s="2" t="s">
        <v>1260</v>
      </c>
      <c r="C362" s="2" t="s">
        <v>1260</v>
      </c>
      <c r="D362" s="2">
        <v>25.0</v>
      </c>
      <c r="E362" s="2">
        <v>3.0</v>
      </c>
      <c r="F362" s="2">
        <v>0.0</v>
      </c>
      <c r="H362" s="2">
        <v>0.0</v>
      </c>
      <c r="J362" s="3" t="s">
        <v>1261</v>
      </c>
      <c r="K362" s="2" t="s">
        <v>1262</v>
      </c>
      <c r="L362" s="2" t="s">
        <v>263</v>
      </c>
      <c r="U362" s="8" t="str">
        <f t="shared" si="1"/>
        <v>CALL InsertOrUpdateProducto('538','Bolsa camiseta común por 100 unidades','Bolsa camiseta común por 100 unidades','25','3','0','','0','','https://img.quodom.com.ar/producto/538.png','Z538','MEDIDAS','','','');</v>
      </c>
    </row>
    <row r="363">
      <c r="A363" s="2">
        <v>539.0</v>
      </c>
      <c r="B363" s="2" t="s">
        <v>1263</v>
      </c>
      <c r="C363" s="2" t="s">
        <v>1263</v>
      </c>
      <c r="D363" s="2">
        <v>25.0</v>
      </c>
      <c r="E363" s="2">
        <v>3.0</v>
      </c>
      <c r="F363" s="2">
        <v>0.0</v>
      </c>
      <c r="H363" s="2">
        <v>0.0</v>
      </c>
      <c r="J363" s="3" t="s">
        <v>1264</v>
      </c>
      <c r="K363" s="2" t="s">
        <v>1265</v>
      </c>
      <c r="L363" s="2" t="s">
        <v>263</v>
      </c>
      <c r="U363" s="8" t="str">
        <f t="shared" si="1"/>
        <v>CALL InsertOrUpdateProducto('539','Bolsa camiseta reforzada por 100 uni.','Bolsa camiseta reforzada por 100 uni.','25','3','0','','0','','https://img.quodom.com.ar/producto/539.png','Z539','MEDIDAS','','','');</v>
      </c>
    </row>
    <row r="364">
      <c r="A364" s="2">
        <v>540.0</v>
      </c>
      <c r="B364" s="2" t="s">
        <v>1266</v>
      </c>
      <c r="C364" s="2" t="s">
        <v>1266</v>
      </c>
      <c r="D364" s="2">
        <v>25.0</v>
      </c>
      <c r="E364" s="2">
        <v>3.0</v>
      </c>
      <c r="F364" s="2">
        <v>0.0</v>
      </c>
      <c r="H364" s="2">
        <v>0.0</v>
      </c>
      <c r="J364" s="3" t="s">
        <v>1267</v>
      </c>
      <c r="K364" s="2" t="s">
        <v>1268</v>
      </c>
      <c r="L364" s="2" t="s">
        <v>263</v>
      </c>
      <c r="U364" s="8" t="str">
        <f t="shared" si="1"/>
        <v>CALL InsertOrUpdateProducto('540','Bolsa Zipper por 100 unidades','Bolsa Zipper por 100 unidades','25','3','0','','0','','https://img.quodom.com.ar/producto/540.png','Z540','MEDIDAS','','','');</v>
      </c>
    </row>
    <row r="365">
      <c r="A365" s="2">
        <v>541.0</v>
      </c>
      <c r="B365" s="2" t="s">
        <v>1269</v>
      </c>
      <c r="C365" s="2" t="s">
        <v>1269</v>
      </c>
      <c r="D365" s="2">
        <v>25.0</v>
      </c>
      <c r="E365" s="2">
        <v>3.0</v>
      </c>
      <c r="F365" s="2">
        <v>0.0</v>
      </c>
      <c r="H365" s="2">
        <v>0.0</v>
      </c>
      <c r="J365" s="3" t="s">
        <v>1270</v>
      </c>
      <c r="K365" s="2" t="s">
        <v>1271</v>
      </c>
      <c r="L365" s="2" t="s">
        <v>1272</v>
      </c>
      <c r="M365" s="2" t="s">
        <v>263</v>
      </c>
      <c r="U365" s="8" t="str">
        <f t="shared" si="1"/>
        <v>CALL InsertOrUpdateProducto('541','Rollo de arranque por 12 bobinas','Rollo de arranque por 12 bobinas','25','3','0','','0','','https://img.quodom.com.ar/producto/541.png','Z541','DENSIDAD','MEDIDAS','','');</v>
      </c>
    </row>
    <row r="366">
      <c r="A366" s="2">
        <v>542.0</v>
      </c>
      <c r="B366" s="2" t="s">
        <v>1273</v>
      </c>
      <c r="C366" s="2" t="s">
        <v>1273</v>
      </c>
      <c r="D366" s="2">
        <v>25.0</v>
      </c>
      <c r="E366" s="2">
        <v>3.0</v>
      </c>
      <c r="F366" s="2">
        <v>0.0</v>
      </c>
      <c r="H366" s="2">
        <v>0.0</v>
      </c>
      <c r="J366" s="3" t="s">
        <v>1274</v>
      </c>
      <c r="K366" s="2" t="s">
        <v>1275</v>
      </c>
      <c r="L366" s="2" t="s">
        <v>263</v>
      </c>
      <c r="U366" s="8" t="str">
        <f t="shared" si="1"/>
        <v>CALL InsertOrUpdateProducto('542','Bolsa con adhesivo por 200 unidades','Bolsa con adhesivo por 200 unidades','25','3','0','','0','','https://img.quodom.com.ar/producto/542.png','Z542','MEDIDAS','','','');</v>
      </c>
    </row>
    <row r="367">
      <c r="A367" s="2">
        <v>543.0</v>
      </c>
      <c r="B367" s="2" t="s">
        <v>1276</v>
      </c>
      <c r="C367" s="2" t="s">
        <v>1276</v>
      </c>
      <c r="D367" s="2">
        <v>29.0</v>
      </c>
      <c r="E367" s="2">
        <v>3.0</v>
      </c>
      <c r="F367" s="2">
        <v>0.0</v>
      </c>
      <c r="H367" s="2">
        <v>0.0</v>
      </c>
      <c r="J367" s="3" t="s">
        <v>1277</v>
      </c>
      <c r="K367" s="2" t="s">
        <v>1278</v>
      </c>
      <c r="L367" s="2" t="s">
        <v>259</v>
      </c>
      <c r="U367" s="8" t="str">
        <f t="shared" si="1"/>
        <v>CALL InsertOrUpdateProducto('543','Resma de papel por 5 unidades','Resma de papel por 5 unidades','29','3','0','','0','','https://img.quodom.com.ar/producto/543.png','Z543','TIPO','','','');</v>
      </c>
    </row>
    <row r="368">
      <c r="A368" s="2">
        <v>544.0</v>
      </c>
      <c r="B368" s="2" t="s">
        <v>980</v>
      </c>
      <c r="C368" s="2" t="s">
        <v>980</v>
      </c>
      <c r="D368" s="2">
        <v>27.0</v>
      </c>
      <c r="E368" s="2">
        <v>3.0</v>
      </c>
      <c r="F368" s="2">
        <v>0.0</v>
      </c>
      <c r="H368" s="2">
        <v>0.0</v>
      </c>
      <c r="J368" s="3" t="s">
        <v>1279</v>
      </c>
      <c r="K368" s="2" t="s">
        <v>1280</v>
      </c>
      <c r="L368" s="2" t="s">
        <v>315</v>
      </c>
      <c r="U368" s="8" t="str">
        <f t="shared" si="1"/>
        <v>CALL InsertOrUpdateProducto('544','Guantes de latex por 100 unidades','Guantes de latex por 100 unidades','27','3','0','','0','','https://img.quodom.com.ar/producto/544.png','Z544','TALLE','','','');</v>
      </c>
    </row>
    <row r="369">
      <c r="A369" s="2">
        <v>545.0</v>
      </c>
      <c r="B369" s="2" t="s">
        <v>319</v>
      </c>
      <c r="C369" s="2" t="s">
        <v>319</v>
      </c>
      <c r="D369" s="2">
        <v>27.0</v>
      </c>
      <c r="E369" s="2">
        <v>3.0</v>
      </c>
      <c r="F369" s="2">
        <v>0.0</v>
      </c>
      <c r="H369" s="2">
        <v>0.0</v>
      </c>
      <c r="J369" s="3" t="s">
        <v>1281</v>
      </c>
      <c r="K369" s="2" t="s">
        <v>1282</v>
      </c>
      <c r="L369" s="2" t="s">
        <v>315</v>
      </c>
      <c r="U369" s="8" t="str">
        <f t="shared" si="1"/>
        <v>CALL InsertOrUpdateProducto('545','Guantes Nitrilo negros por 100 unidades','Guantes Nitrilo negros por 100 unidades','27','3','0','','0','','https://img.quodom.com.ar/producto/545.png','Z545','TALLE','','','');</v>
      </c>
    </row>
    <row r="370">
      <c r="A370" s="2">
        <v>546.0</v>
      </c>
      <c r="B370" s="2" t="s">
        <v>1283</v>
      </c>
      <c r="C370" s="2" t="s">
        <v>1283</v>
      </c>
      <c r="D370" s="2">
        <v>27.0</v>
      </c>
      <c r="E370" s="2">
        <v>3.0</v>
      </c>
      <c r="F370" s="2">
        <v>0.0</v>
      </c>
      <c r="H370" s="2">
        <v>0.0</v>
      </c>
      <c r="J370" s="3" t="s">
        <v>1284</v>
      </c>
      <c r="K370" s="2" t="s">
        <v>1285</v>
      </c>
      <c r="U370" s="8" t="str">
        <f t="shared" si="1"/>
        <v>CALL InsertOrUpdateProducto('546','Guantes polietileno por 100 unidades','Guantes polietileno por 100 unidades','27','3','0','','0','','https://img.quodom.com.ar/producto/546.png','Z546','','','','');</v>
      </c>
    </row>
    <row r="371">
      <c r="A371" s="2">
        <v>547.0</v>
      </c>
      <c r="B371" s="2" t="s">
        <v>1286</v>
      </c>
      <c r="C371" s="2" t="s">
        <v>1286</v>
      </c>
      <c r="D371" s="2">
        <v>27.0</v>
      </c>
      <c r="E371" s="2">
        <v>3.0</v>
      </c>
      <c r="F371" s="2">
        <v>0.0</v>
      </c>
      <c r="H371" s="2">
        <v>0.0</v>
      </c>
      <c r="J371" s="3" t="s">
        <v>1287</v>
      </c>
      <c r="K371" s="2" t="s">
        <v>1288</v>
      </c>
      <c r="L371" s="2" t="s">
        <v>315</v>
      </c>
      <c r="U371" s="8" t="str">
        <f t="shared" si="1"/>
        <v>CALL InsertOrUpdateProducto('547','Guantes de vinilo por 100 unidades','Guantes de vinilo por 100 unidades','27','3','0','','0','','https://img.quodom.com.ar/producto/547.png','Z547','TALLE','','','');</v>
      </c>
    </row>
    <row r="372">
      <c r="A372" s="2">
        <v>548.0</v>
      </c>
      <c r="B372" s="2" t="s">
        <v>1289</v>
      </c>
      <c r="C372" s="2" t="s">
        <v>1289</v>
      </c>
      <c r="D372" s="2">
        <v>27.0</v>
      </c>
      <c r="E372" s="2">
        <v>3.0</v>
      </c>
      <c r="F372" s="2">
        <v>0.0</v>
      </c>
      <c r="H372" s="2">
        <v>0.0</v>
      </c>
      <c r="J372" s="3" t="s">
        <v>1290</v>
      </c>
      <c r="K372" s="2" t="s">
        <v>1291</v>
      </c>
      <c r="L372" s="2" t="s">
        <v>581</v>
      </c>
      <c r="U372" s="8" t="str">
        <f t="shared" si="1"/>
        <v>CALL InsertOrUpdateProducto('548','Barbijos descartables por 100 unidades','Barbijos descartables por 100 unidades','27','3','0','','0','','https://img.quodom.com.ar/producto/548.png','Z548','COLOR','','','');</v>
      </c>
    </row>
    <row r="373">
      <c r="A373" s="2">
        <v>549.0</v>
      </c>
      <c r="B373" s="2" t="s">
        <v>1292</v>
      </c>
      <c r="C373" s="2" t="s">
        <v>1292</v>
      </c>
      <c r="D373" s="2">
        <v>17.0</v>
      </c>
      <c r="E373" s="2">
        <v>1.0</v>
      </c>
      <c r="F373" s="2">
        <v>0.0</v>
      </c>
      <c r="H373" s="2">
        <v>0.0</v>
      </c>
      <c r="J373" s="3" t="s">
        <v>1293</v>
      </c>
      <c r="K373" s="2" t="s">
        <v>1294</v>
      </c>
      <c r="U373" s="8" t="str">
        <f t="shared" si="1"/>
        <v>CALL InsertOrUpdateProducto('549','Papel Higiénico de 30 mts por 24 unidades','Papel Higiénico de 30 mts por 24 unidades','17','1','0','','0','','https://img.quodom.com.ar/producto/549.png','Z549','','','','');</v>
      </c>
    </row>
    <row r="374">
      <c r="A374" s="2">
        <v>550.0</v>
      </c>
      <c r="B374" s="2" t="s">
        <v>1295</v>
      </c>
      <c r="C374" s="2" t="s">
        <v>1295</v>
      </c>
      <c r="D374" s="2">
        <v>17.0</v>
      </c>
      <c r="E374" s="2">
        <v>1.0</v>
      </c>
      <c r="F374" s="2">
        <v>0.0</v>
      </c>
      <c r="H374" s="2">
        <v>0.0</v>
      </c>
      <c r="J374" s="3" t="s">
        <v>1296</v>
      </c>
      <c r="K374" s="2" t="s">
        <v>1297</v>
      </c>
      <c r="U374" s="8" t="str">
        <f t="shared" si="1"/>
        <v>CALL InsertOrUpdateProducto('550','Papel Higiénico simple hoja de 50 mts por 24 unidades','Papel Higiénico simple hoja de 50 mts por 24 unidades','17','1','0','','0','','https://img.quodom.com.ar/producto/550.png','Z550','','','','');</v>
      </c>
    </row>
    <row r="375">
      <c r="A375" s="2">
        <v>551.0</v>
      </c>
      <c r="B375" s="2" t="s">
        <v>1298</v>
      </c>
      <c r="C375" s="2" t="s">
        <v>1298</v>
      </c>
      <c r="D375" s="2">
        <v>17.0</v>
      </c>
      <c r="E375" s="2">
        <v>1.0</v>
      </c>
      <c r="F375" s="2">
        <v>0.0</v>
      </c>
      <c r="H375" s="2">
        <v>0.0</v>
      </c>
      <c r="J375" s="3" t="s">
        <v>1299</v>
      </c>
      <c r="K375" s="2" t="s">
        <v>1300</v>
      </c>
      <c r="U375" s="8" t="str">
        <f t="shared" si="1"/>
        <v>CALL InsertOrUpdateProducto('551','Papel Higiénico simple hoja de 60 mts por 24 unidades','Papel Higiénico simple hoja de 60 mts por 24 unidades','17','1','0','','0','','https://img.quodom.com.ar/producto/551.png','Z551','','','','');</v>
      </c>
    </row>
    <row r="376">
      <c r="A376" s="2">
        <v>552.0</v>
      </c>
      <c r="B376" s="2" t="s">
        <v>1301</v>
      </c>
      <c r="C376" s="2" t="s">
        <v>1301</v>
      </c>
      <c r="D376" s="2">
        <v>17.0</v>
      </c>
      <c r="E376" s="2">
        <v>1.0</v>
      </c>
      <c r="F376" s="2">
        <v>0.0</v>
      </c>
      <c r="H376" s="2">
        <v>0.0</v>
      </c>
      <c r="J376" s="3" t="s">
        <v>1302</v>
      </c>
      <c r="K376" s="2" t="s">
        <v>1303</v>
      </c>
      <c r="U376" s="8" t="str">
        <f t="shared" si="1"/>
        <v>CALL InsertOrUpdateProducto('552','Papel Higiénico simple hoja de 80 mts por 24 unidades','Papel Higiénico simple hoja de 80 mts por 24 unidades','17','1','0','','0','','https://img.quodom.com.ar/producto/552.png','Z552','','','','');</v>
      </c>
    </row>
    <row r="377">
      <c r="A377" s="2">
        <v>553.0</v>
      </c>
      <c r="B377" s="2" t="s">
        <v>1304</v>
      </c>
      <c r="C377" s="2" t="s">
        <v>1304</v>
      </c>
      <c r="D377" s="2">
        <v>17.0</v>
      </c>
      <c r="E377" s="2">
        <v>1.0</v>
      </c>
      <c r="F377" s="2">
        <v>0.0</v>
      </c>
      <c r="H377" s="2">
        <v>0.0</v>
      </c>
      <c r="J377" s="3" t="s">
        <v>1305</v>
      </c>
      <c r="K377" s="2" t="s">
        <v>1306</v>
      </c>
      <c r="U377" s="8" t="str">
        <f t="shared" si="1"/>
        <v>CALL InsertOrUpdateProducto('553','Papel Higiénico simple hoja de 100 mts por 12 unidades','Papel Higiénico simple hoja de 100 mts por 12 unidades','17','1','0','','0','','https://img.quodom.com.ar/producto/553.png','Z553','','','','');</v>
      </c>
    </row>
    <row r="378">
      <c r="A378" s="2">
        <v>554.0</v>
      </c>
      <c r="B378" s="2" t="s">
        <v>1307</v>
      </c>
      <c r="C378" s="2" t="s">
        <v>1307</v>
      </c>
      <c r="D378" s="2">
        <v>17.0</v>
      </c>
      <c r="E378" s="2">
        <v>1.0</v>
      </c>
      <c r="F378" s="2">
        <v>0.0</v>
      </c>
      <c r="H378" s="2">
        <v>0.0</v>
      </c>
      <c r="J378" s="3" t="s">
        <v>1308</v>
      </c>
      <c r="K378" s="2" t="s">
        <v>1309</v>
      </c>
      <c r="U378" s="8" t="str">
        <f t="shared" si="1"/>
        <v>CALL InsertOrUpdateProducto('554','Papel Higiénico 300 mts pack 8 unidades','Papel Higiénico 300 mts pack 8 unidades','17','1','0','','0','','https://img.quodom.com.ar/producto/554.png','Z554','','','','');</v>
      </c>
    </row>
    <row r="379">
      <c r="A379" s="2">
        <v>555.0</v>
      </c>
      <c r="B379" s="2" t="s">
        <v>1310</v>
      </c>
      <c r="C379" s="2" t="s">
        <v>1310</v>
      </c>
      <c r="D379" s="2">
        <v>17.0</v>
      </c>
      <c r="E379" s="2">
        <v>1.0</v>
      </c>
      <c r="F379" s="2">
        <v>0.0</v>
      </c>
      <c r="H379" s="2">
        <v>0.0</v>
      </c>
      <c r="J379" s="3" t="s">
        <v>1311</v>
      </c>
      <c r="K379" s="2" t="s">
        <v>1312</v>
      </c>
      <c r="U379" s="8" t="str">
        <f t="shared" si="1"/>
        <v>CALL InsertOrUpdateProducto('555','Toalla de mano 300 mts pack 2 unidades','Toalla de mano 300 mts pack 2 unidades','17','1','0','','0','','https://img.quodom.com.ar/producto/555.png','Z555','','','','');</v>
      </c>
    </row>
    <row r="380">
      <c r="A380" s="2">
        <v>556.0</v>
      </c>
      <c r="B380" s="2" t="s">
        <v>1313</v>
      </c>
      <c r="C380" s="2" t="s">
        <v>1313</v>
      </c>
      <c r="D380" s="2">
        <v>17.0</v>
      </c>
      <c r="E380" s="2">
        <v>1.0</v>
      </c>
      <c r="F380" s="2">
        <v>0.0</v>
      </c>
      <c r="H380" s="2">
        <v>0.0</v>
      </c>
      <c r="J380" s="3" t="s">
        <v>1314</v>
      </c>
      <c r="K380" s="2" t="s">
        <v>1315</v>
      </c>
      <c r="U380" s="8" t="str">
        <f t="shared" si="1"/>
        <v>CALL InsertOrUpdateProducto('556','Toalla de mano 400 mts pack 2 unidades','Toalla de mano 400 mts pack 2 unidades','17','1','0','','0','','https://img.quodom.com.ar/producto/556.png','Z556','','','','');</v>
      </c>
    </row>
    <row r="381">
      <c r="A381" s="2">
        <v>557.0</v>
      </c>
      <c r="B381" s="2" t="s">
        <v>1316</v>
      </c>
      <c r="C381" s="2" t="s">
        <v>1316</v>
      </c>
      <c r="D381" s="2">
        <v>17.0</v>
      </c>
      <c r="E381" s="2">
        <v>1.0</v>
      </c>
      <c r="F381" s="2">
        <v>0.0</v>
      </c>
      <c r="H381" s="2">
        <v>0.0</v>
      </c>
      <c r="J381" s="3" t="s">
        <v>1317</v>
      </c>
      <c r="K381" s="2" t="s">
        <v>1318</v>
      </c>
      <c r="U381" s="8" t="str">
        <f t="shared" si="1"/>
        <v>CALL InsertOrUpdateProducto('557','Rollo de cocina 50 paños pack 24 unidades','Rollo de cocina 50 paños pack 24 unidades','17','1','0','','0','','https://img.quodom.com.ar/producto/557.png','Z557','','','','');</v>
      </c>
    </row>
    <row r="382">
      <c r="A382" s="2">
        <v>558.0</v>
      </c>
      <c r="B382" s="2" t="s">
        <v>1319</v>
      </c>
      <c r="C382" s="2" t="s">
        <v>1319</v>
      </c>
      <c r="D382" s="2">
        <v>17.0</v>
      </c>
      <c r="E382" s="2">
        <v>1.0</v>
      </c>
      <c r="F382" s="2">
        <v>0.0</v>
      </c>
      <c r="H382" s="2">
        <v>0.0</v>
      </c>
      <c r="J382" s="3" t="s">
        <v>1320</v>
      </c>
      <c r="K382" s="2" t="s">
        <v>1321</v>
      </c>
      <c r="U382" s="8" t="str">
        <f t="shared" si="1"/>
        <v>CALL InsertOrUpdateProducto('558','Rollo de cocina 100 paños pack 15 unidades','Rollo de cocina 100 paños pack 15 unidades','17','1','0','','0','','https://img.quodom.com.ar/producto/558.png','Z558','','','','');</v>
      </c>
    </row>
    <row r="383">
      <c r="A383" s="2">
        <v>559.0</v>
      </c>
      <c r="B383" s="2" t="s">
        <v>1322</v>
      </c>
      <c r="C383" s="2" t="s">
        <v>1322</v>
      </c>
      <c r="D383" s="2">
        <v>17.0</v>
      </c>
      <c r="E383" s="2">
        <v>1.0</v>
      </c>
      <c r="F383" s="2">
        <v>0.0</v>
      </c>
      <c r="H383" s="2">
        <v>0.0</v>
      </c>
      <c r="J383" s="3" t="s">
        <v>1323</v>
      </c>
      <c r="K383" s="2" t="s">
        <v>1324</v>
      </c>
      <c r="U383" s="8" t="str">
        <f t="shared" si="1"/>
        <v>CALL InsertOrUpdateProducto('559','Toalla intercalada Canela pack 2500 unidades','Toalla intercalada Canela pack 2500 unidades','17','1','0','','0','','https://img.quodom.com.ar/producto/559.png','Z559','','','','');</v>
      </c>
    </row>
    <row r="384">
      <c r="A384" s="2">
        <v>560.0</v>
      </c>
      <c r="B384" s="2" t="s">
        <v>1325</v>
      </c>
      <c r="C384" s="2" t="s">
        <v>1325</v>
      </c>
      <c r="D384" s="2">
        <v>17.0</v>
      </c>
      <c r="E384" s="2">
        <v>1.0</v>
      </c>
      <c r="F384" s="2">
        <v>0.0</v>
      </c>
      <c r="H384" s="2">
        <v>0.0</v>
      </c>
      <c r="J384" s="3" t="s">
        <v>1326</v>
      </c>
      <c r="K384" s="2" t="s">
        <v>1327</v>
      </c>
      <c r="U384" s="8" t="str">
        <f t="shared" si="1"/>
        <v>CALL InsertOrUpdateProducto('560','Toalla intercalada Blanca pack 2500 unidades','Toalla intercalada Blanca pack 2500 unidades','17','1','0','','0','','https://img.quodom.com.ar/producto/560.png','Z560','','','','');</v>
      </c>
    </row>
    <row r="385">
      <c r="A385" s="2">
        <v>561.0</v>
      </c>
      <c r="B385" s="2" t="s">
        <v>1328</v>
      </c>
      <c r="C385" s="2" t="s">
        <v>1328</v>
      </c>
      <c r="D385" s="2">
        <v>45.0</v>
      </c>
      <c r="E385" s="2">
        <v>7.0</v>
      </c>
      <c r="F385" s="2">
        <v>0.0</v>
      </c>
      <c r="H385" s="2">
        <v>0.0</v>
      </c>
      <c r="J385" s="3" t="s">
        <v>1329</v>
      </c>
      <c r="K385" s="2" t="s">
        <v>1330</v>
      </c>
      <c r="L385" s="2" t="s">
        <v>1331</v>
      </c>
      <c r="U385" s="8" t="str">
        <f t="shared" si="1"/>
        <v>CALL InsertOrUpdateProducto('561','Coca Cola original lata','Coca Cola original lata','45','7','0','','0','','https://img.quodom.com.ar/producto/561.png','Z561','FORMATO','','','');</v>
      </c>
    </row>
    <row r="386">
      <c r="A386" s="2">
        <v>562.0</v>
      </c>
      <c r="B386" s="2" t="s">
        <v>1332</v>
      </c>
      <c r="C386" s="2" t="s">
        <v>1332</v>
      </c>
      <c r="D386" s="2">
        <v>45.0</v>
      </c>
      <c r="E386" s="2">
        <v>7.0</v>
      </c>
      <c r="F386" s="2">
        <v>0.0</v>
      </c>
      <c r="H386" s="2">
        <v>0.0</v>
      </c>
      <c r="J386" s="3" t="s">
        <v>1333</v>
      </c>
      <c r="K386" s="2" t="s">
        <v>1334</v>
      </c>
      <c r="L386" s="2" t="s">
        <v>1331</v>
      </c>
      <c r="U386" s="8" t="str">
        <f t="shared" si="1"/>
        <v>CALL InsertOrUpdateProducto('562','Coca Cola original botella','Coca Cola original botella','45','7','0','','0','','https://img.quodom.com.ar/producto/562.png','Z562','FORMATO','','','');</v>
      </c>
    </row>
    <row r="387">
      <c r="A387" s="2">
        <v>563.0</v>
      </c>
      <c r="B387" s="2" t="s">
        <v>1335</v>
      </c>
      <c r="C387" s="2" t="s">
        <v>1335</v>
      </c>
      <c r="D387" s="2">
        <v>45.0</v>
      </c>
      <c r="E387" s="2">
        <v>7.0</v>
      </c>
      <c r="F387" s="2">
        <v>0.0</v>
      </c>
      <c r="H387" s="2">
        <v>0.0</v>
      </c>
      <c r="J387" s="3" t="s">
        <v>1336</v>
      </c>
      <c r="K387" s="2" t="s">
        <v>1337</v>
      </c>
      <c r="L387" s="2" t="s">
        <v>1331</v>
      </c>
      <c r="U387" s="8" t="str">
        <f t="shared" si="1"/>
        <v>CALL InsertOrUpdateProducto('563','Coca Cola Sin azúcar lata','Coca Cola Sin azúcar lata','45','7','0','','0','','https://img.quodom.com.ar/producto/563.png','Z563','FORMATO','','','');</v>
      </c>
    </row>
    <row r="388">
      <c r="A388" s="2">
        <v>564.0</v>
      </c>
      <c r="B388" s="2" t="s">
        <v>1338</v>
      </c>
      <c r="C388" s="2" t="s">
        <v>1338</v>
      </c>
      <c r="D388" s="2">
        <v>45.0</v>
      </c>
      <c r="E388" s="2">
        <v>7.0</v>
      </c>
      <c r="F388" s="2">
        <v>0.0</v>
      </c>
      <c r="H388" s="2">
        <v>0.0</v>
      </c>
      <c r="J388" s="3" t="s">
        <v>1339</v>
      </c>
      <c r="K388" s="2" t="s">
        <v>1340</v>
      </c>
      <c r="L388" s="2" t="s">
        <v>1331</v>
      </c>
      <c r="U388" s="8" t="str">
        <f t="shared" si="1"/>
        <v>CALL InsertOrUpdateProducto('564','Coca Cola Sin azúcar botella','Coca Cola Sin azúcar botella','45','7','0','','0','','https://img.quodom.com.ar/producto/564.png','Z564','FORMATO','','','');</v>
      </c>
    </row>
    <row r="389">
      <c r="A389" s="2">
        <v>565.0</v>
      </c>
      <c r="B389" s="2" t="s">
        <v>1341</v>
      </c>
      <c r="C389" s="2" t="s">
        <v>1341</v>
      </c>
      <c r="D389" s="2">
        <v>45.0</v>
      </c>
      <c r="E389" s="2">
        <v>7.0</v>
      </c>
      <c r="F389" s="2">
        <v>0.0</v>
      </c>
      <c r="H389" s="2">
        <v>0.0</v>
      </c>
      <c r="J389" s="3" t="s">
        <v>1342</v>
      </c>
      <c r="K389" s="2" t="s">
        <v>1343</v>
      </c>
      <c r="L389" s="2" t="s">
        <v>1331</v>
      </c>
      <c r="U389" s="8" t="str">
        <f t="shared" si="1"/>
        <v>CALL InsertOrUpdateProducto('565','Coca Cola Zero lata','Coca Cola Zero lata','45','7','0','','0','','https://img.quodom.com.ar/producto/565.png','Z565','FORMATO','','','');</v>
      </c>
    </row>
    <row r="390">
      <c r="A390" s="2">
        <v>566.0</v>
      </c>
      <c r="B390" s="2" t="s">
        <v>1344</v>
      </c>
      <c r="C390" s="2" t="s">
        <v>1344</v>
      </c>
      <c r="D390" s="2">
        <v>45.0</v>
      </c>
      <c r="E390" s="2">
        <v>7.0</v>
      </c>
      <c r="F390" s="2">
        <v>0.0</v>
      </c>
      <c r="H390" s="2">
        <v>0.0</v>
      </c>
      <c r="J390" s="3" t="s">
        <v>1345</v>
      </c>
      <c r="K390" s="2" t="s">
        <v>1346</v>
      </c>
      <c r="L390" s="2" t="s">
        <v>1331</v>
      </c>
      <c r="U390" s="8" t="str">
        <f t="shared" si="1"/>
        <v>CALL InsertOrUpdateProducto('566','Coca Cola Zero botella','Coca Cola Zero botella','45','7','0','','0','','https://img.quodom.com.ar/producto/566.png','Z566','FORMATO','','','');</v>
      </c>
    </row>
    <row r="391">
      <c r="A391" s="2">
        <v>567.0</v>
      </c>
      <c r="B391" s="2" t="s">
        <v>1347</v>
      </c>
      <c r="C391" s="2" t="s">
        <v>1347</v>
      </c>
      <c r="D391" s="2">
        <v>45.0</v>
      </c>
      <c r="E391" s="2">
        <v>7.0</v>
      </c>
      <c r="F391" s="2">
        <v>0.0</v>
      </c>
      <c r="H391" s="2">
        <v>0.0</v>
      </c>
      <c r="J391" s="3" t="s">
        <v>1348</v>
      </c>
      <c r="K391" s="2" t="s">
        <v>1349</v>
      </c>
      <c r="L391" s="2" t="s">
        <v>1331</v>
      </c>
      <c r="U391" s="8" t="str">
        <f t="shared" si="1"/>
        <v>CALL InsertOrUpdateProducto('567','Coca Cola Light lata','Coca Cola Light lata','45','7','0','','0','','https://img.quodom.com.ar/producto/567.png','Z567','FORMATO','','','');</v>
      </c>
    </row>
    <row r="392">
      <c r="A392" s="2">
        <v>568.0</v>
      </c>
      <c r="B392" s="2" t="s">
        <v>1350</v>
      </c>
      <c r="C392" s="2" t="s">
        <v>1350</v>
      </c>
      <c r="D392" s="2">
        <v>45.0</v>
      </c>
      <c r="E392" s="2">
        <v>7.0</v>
      </c>
      <c r="F392" s="2">
        <v>0.0</v>
      </c>
      <c r="H392" s="2">
        <v>0.0</v>
      </c>
      <c r="J392" s="3" t="s">
        <v>1351</v>
      </c>
      <c r="K392" s="2" t="s">
        <v>1352</v>
      </c>
      <c r="L392" s="2" t="s">
        <v>1331</v>
      </c>
      <c r="U392" s="8" t="str">
        <f t="shared" si="1"/>
        <v>CALL InsertOrUpdateProducto('568','Coca Cola Light botella','Coca Cola Light botella','45','7','0','','0','','https://img.quodom.com.ar/producto/568.png','Z568','FORMATO','','','');</v>
      </c>
    </row>
    <row r="393">
      <c r="A393" s="2">
        <v>569.0</v>
      </c>
      <c r="B393" s="2" t="s">
        <v>1353</v>
      </c>
      <c r="C393" s="2" t="s">
        <v>1353</v>
      </c>
      <c r="D393" s="2">
        <v>45.0</v>
      </c>
      <c r="E393" s="2">
        <v>7.0</v>
      </c>
      <c r="F393" s="2">
        <v>0.0</v>
      </c>
      <c r="H393" s="2">
        <v>0.0</v>
      </c>
      <c r="J393" s="3" t="s">
        <v>1354</v>
      </c>
      <c r="K393" s="2" t="s">
        <v>1355</v>
      </c>
      <c r="L393" s="2" t="s">
        <v>1331</v>
      </c>
      <c r="U393" s="8" t="str">
        <f t="shared" si="1"/>
        <v>CALL InsertOrUpdateProducto('569','Sprite original lata','Sprite original lata','45','7','0','','0','','https://img.quodom.com.ar/producto/569.png','Z569','FORMATO','','','');</v>
      </c>
    </row>
    <row r="394">
      <c r="A394" s="2">
        <v>570.0</v>
      </c>
      <c r="B394" s="2" t="s">
        <v>1356</v>
      </c>
      <c r="C394" s="2" t="s">
        <v>1356</v>
      </c>
      <c r="D394" s="2">
        <v>45.0</v>
      </c>
      <c r="E394" s="2">
        <v>7.0</v>
      </c>
      <c r="F394" s="2">
        <v>0.0</v>
      </c>
      <c r="H394" s="2">
        <v>0.0</v>
      </c>
      <c r="J394" s="3" t="s">
        <v>1357</v>
      </c>
      <c r="K394" s="2" t="s">
        <v>1358</v>
      </c>
      <c r="L394" s="2" t="s">
        <v>1331</v>
      </c>
      <c r="U394" s="8" t="str">
        <f t="shared" si="1"/>
        <v>CALL InsertOrUpdateProducto('570','Sprite original botella','Sprite original botella','45','7','0','','0','','https://img.quodom.com.ar/producto/570.png','Z570','FORMATO','','','');</v>
      </c>
    </row>
    <row r="395">
      <c r="A395" s="2">
        <v>571.0</v>
      </c>
      <c r="B395" s="2" t="s">
        <v>1359</v>
      </c>
      <c r="C395" s="2" t="s">
        <v>1359</v>
      </c>
      <c r="D395" s="2">
        <v>45.0</v>
      </c>
      <c r="E395" s="2">
        <v>7.0</v>
      </c>
      <c r="F395" s="2">
        <v>0.0</v>
      </c>
      <c r="H395" s="2">
        <v>0.0</v>
      </c>
      <c r="J395" s="3" t="s">
        <v>1360</v>
      </c>
      <c r="K395" s="2" t="s">
        <v>1361</v>
      </c>
      <c r="L395" s="2" t="s">
        <v>1331</v>
      </c>
      <c r="U395" s="8" t="str">
        <f t="shared" si="1"/>
        <v>CALL InsertOrUpdateProducto('571','Sprite zero lata','Sprite zero lata','45','7','0','','0','','https://img.quodom.com.ar/producto/571.png','Z571','FORMATO','','','');</v>
      </c>
    </row>
    <row r="396">
      <c r="A396" s="2">
        <v>572.0</v>
      </c>
      <c r="B396" s="2" t="s">
        <v>1362</v>
      </c>
      <c r="C396" s="2" t="s">
        <v>1362</v>
      </c>
      <c r="D396" s="2">
        <v>45.0</v>
      </c>
      <c r="E396" s="2">
        <v>7.0</v>
      </c>
      <c r="F396" s="2">
        <v>0.0</v>
      </c>
      <c r="H396" s="2">
        <v>0.0</v>
      </c>
      <c r="J396" s="3" t="s">
        <v>1363</v>
      </c>
      <c r="K396" s="2" t="s">
        <v>1364</v>
      </c>
      <c r="L396" s="2" t="s">
        <v>1331</v>
      </c>
      <c r="U396" s="8" t="str">
        <f t="shared" si="1"/>
        <v>CALL InsertOrUpdateProducto('572','Sprite sin azúcar botella','Sprite sin azúcar botella','45','7','0','','0','','https://img.quodom.com.ar/producto/572.png','Z572','FORMATO','','','');</v>
      </c>
    </row>
    <row r="397">
      <c r="A397" s="2">
        <v>573.0</v>
      </c>
      <c r="B397" s="2" t="s">
        <v>1365</v>
      </c>
      <c r="C397" s="2" t="s">
        <v>1365</v>
      </c>
      <c r="D397" s="2">
        <v>45.0</v>
      </c>
      <c r="E397" s="2">
        <v>7.0</v>
      </c>
      <c r="F397" s="2">
        <v>0.0</v>
      </c>
      <c r="H397" s="2">
        <v>0.0</v>
      </c>
      <c r="J397" s="3" t="s">
        <v>1366</v>
      </c>
      <c r="K397" s="2" t="s">
        <v>1367</v>
      </c>
      <c r="L397" s="2" t="s">
        <v>1331</v>
      </c>
      <c r="U397" s="8" t="str">
        <f t="shared" si="1"/>
        <v>CALL InsertOrUpdateProducto('573','Fanta lata','Fanta lata','45','7','0','','0','','https://img.quodom.com.ar/producto/573.png','Z573','FORMATO','','','');</v>
      </c>
    </row>
    <row r="398">
      <c r="A398" s="2">
        <v>574.0</v>
      </c>
      <c r="B398" s="2" t="s">
        <v>1368</v>
      </c>
      <c r="C398" s="2" t="s">
        <v>1368</v>
      </c>
      <c r="D398" s="2">
        <v>45.0</v>
      </c>
      <c r="E398" s="2">
        <v>7.0</v>
      </c>
      <c r="F398" s="2">
        <v>0.0</v>
      </c>
      <c r="H398" s="2">
        <v>0.0</v>
      </c>
      <c r="J398" s="3" t="s">
        <v>1369</v>
      </c>
      <c r="K398" s="2" t="s">
        <v>1370</v>
      </c>
      <c r="L398" s="2" t="s">
        <v>1331</v>
      </c>
      <c r="U398" s="8" t="str">
        <f t="shared" si="1"/>
        <v>CALL InsertOrUpdateProducto('574','Fanta botella','Fanta botella','45','7','0','','0','','https://img.quodom.com.ar/producto/574.png','Z574','FORMATO','','','');</v>
      </c>
    </row>
    <row r="399">
      <c r="A399" s="2">
        <v>575.0</v>
      </c>
      <c r="B399" s="2" t="s">
        <v>1371</v>
      </c>
      <c r="C399" s="2" t="s">
        <v>1371</v>
      </c>
      <c r="D399" s="2">
        <v>45.0</v>
      </c>
      <c r="E399" s="2">
        <v>7.0</v>
      </c>
      <c r="F399" s="2">
        <v>0.0</v>
      </c>
      <c r="H399" s="2">
        <v>0.0</v>
      </c>
      <c r="J399" s="3" t="s">
        <v>1372</v>
      </c>
      <c r="K399" s="2" t="s">
        <v>1373</v>
      </c>
      <c r="L399" s="2" t="s">
        <v>1331</v>
      </c>
      <c r="U399" s="8" t="str">
        <f t="shared" si="1"/>
        <v>CALL InsertOrUpdateProducto('575','Pepsi lata','Pepsi lata','45','7','0','','0','','https://img.quodom.com.ar/producto/575.png','Z575','FORMATO','','','');</v>
      </c>
    </row>
    <row r="400">
      <c r="A400" s="2">
        <v>576.0</v>
      </c>
      <c r="B400" s="2" t="s">
        <v>1374</v>
      </c>
      <c r="C400" s="2" t="s">
        <v>1374</v>
      </c>
      <c r="D400" s="2">
        <v>45.0</v>
      </c>
      <c r="E400" s="2">
        <v>7.0</v>
      </c>
      <c r="F400" s="2">
        <v>0.0</v>
      </c>
      <c r="H400" s="2">
        <v>0.0</v>
      </c>
      <c r="J400" s="3" t="s">
        <v>1375</v>
      </c>
      <c r="K400" s="2" t="s">
        <v>1376</v>
      </c>
      <c r="L400" s="2" t="s">
        <v>1331</v>
      </c>
      <c r="U400" s="8" t="str">
        <f t="shared" si="1"/>
        <v>CALL InsertOrUpdateProducto('576','Pepsi botella','Pepsi botella','45','7','0','','0','','https://img.quodom.com.ar/producto/576.png','Z576','FORMATO','','','');</v>
      </c>
    </row>
    <row r="401">
      <c r="A401" s="2">
        <v>577.0</v>
      </c>
      <c r="B401" s="2" t="s">
        <v>1377</v>
      </c>
      <c r="C401" s="2" t="s">
        <v>1377</v>
      </c>
      <c r="D401" s="2">
        <v>45.0</v>
      </c>
      <c r="E401" s="2">
        <v>7.0</v>
      </c>
      <c r="F401" s="2">
        <v>0.0</v>
      </c>
      <c r="H401" s="2">
        <v>0.0</v>
      </c>
      <c r="J401" s="3" t="s">
        <v>1378</v>
      </c>
      <c r="K401" s="2" t="s">
        <v>1379</v>
      </c>
      <c r="L401" s="2" t="s">
        <v>1331</v>
      </c>
      <c r="U401" s="8" t="str">
        <f t="shared" si="1"/>
        <v>CALL InsertOrUpdateProducto('577','Pepsi Black lata','Pepsi Black lata','45','7','0','','0','','https://img.quodom.com.ar/producto/577.png','Z577','FORMATO','','','');</v>
      </c>
    </row>
    <row r="402">
      <c r="A402" s="2">
        <v>578.0</v>
      </c>
      <c r="B402" s="2" t="s">
        <v>1380</v>
      </c>
      <c r="C402" s="2" t="s">
        <v>1380</v>
      </c>
      <c r="D402" s="2">
        <v>45.0</v>
      </c>
      <c r="E402" s="2">
        <v>7.0</v>
      </c>
      <c r="F402" s="2">
        <v>0.0</v>
      </c>
      <c r="H402" s="2">
        <v>0.0</v>
      </c>
      <c r="J402" s="3" t="s">
        <v>1381</v>
      </c>
      <c r="K402" s="2" t="s">
        <v>1382</v>
      </c>
      <c r="L402" s="2" t="s">
        <v>1331</v>
      </c>
      <c r="U402" s="8" t="str">
        <f t="shared" si="1"/>
        <v>CALL InsertOrUpdateProducto('578','Pepsi Black botella','Pepsi Black botella','45','7','0','','0','','https://img.quodom.com.ar/producto/578.png','Z578','FORMATO','','','');</v>
      </c>
    </row>
    <row r="403">
      <c r="A403" s="2">
        <v>580.0</v>
      </c>
      <c r="B403" s="2" t="s">
        <v>1383</v>
      </c>
      <c r="C403" s="2" t="s">
        <v>1383</v>
      </c>
      <c r="D403" s="2">
        <v>45.0</v>
      </c>
      <c r="E403" s="2">
        <v>7.0</v>
      </c>
      <c r="F403" s="2">
        <v>0.0</v>
      </c>
      <c r="H403" s="2">
        <v>0.0</v>
      </c>
      <c r="J403" s="3" t="s">
        <v>1384</v>
      </c>
      <c r="K403" s="2" t="s">
        <v>1385</v>
      </c>
      <c r="L403" s="2" t="s">
        <v>1331</v>
      </c>
      <c r="U403" s="8" t="str">
        <f t="shared" si="1"/>
        <v>CALL InsertOrUpdateProducto('580','Schweppes Tónica lata','Schweppes Tónica lata','45','7','0','','0','','https://img.quodom.com.ar/producto/580.png','Z580','FORMATO','','','');</v>
      </c>
    </row>
    <row r="404">
      <c r="A404" s="2">
        <v>581.0</v>
      </c>
      <c r="B404" s="2" t="s">
        <v>1386</v>
      </c>
      <c r="C404" s="2" t="s">
        <v>1386</v>
      </c>
      <c r="D404" s="2">
        <v>45.0</v>
      </c>
      <c r="E404" s="2">
        <v>7.0</v>
      </c>
      <c r="F404" s="2">
        <v>0.0</v>
      </c>
      <c r="H404" s="2">
        <v>0.0</v>
      </c>
      <c r="J404" s="3" t="s">
        <v>1387</v>
      </c>
      <c r="K404" s="2" t="s">
        <v>1388</v>
      </c>
      <c r="L404" s="2" t="s">
        <v>1331</v>
      </c>
      <c r="U404" s="8" t="str">
        <f t="shared" si="1"/>
        <v>CALL InsertOrUpdateProducto('581','Schweppes Tónica botella','Schweppes Tónica botella','45','7','0','','0','','https://img.quodom.com.ar/producto/581.png','Z581','FORMATO','','','');</v>
      </c>
    </row>
    <row r="405">
      <c r="A405" s="2">
        <v>582.0</v>
      </c>
      <c r="B405" s="2" t="s">
        <v>1389</v>
      </c>
      <c r="C405" s="2" t="s">
        <v>1389</v>
      </c>
      <c r="D405" s="2">
        <v>45.0</v>
      </c>
      <c r="E405" s="2">
        <v>7.0</v>
      </c>
      <c r="F405" s="2">
        <v>0.0</v>
      </c>
      <c r="H405" s="2">
        <v>0.0</v>
      </c>
      <c r="J405" s="3" t="s">
        <v>1390</v>
      </c>
      <c r="K405" s="2" t="s">
        <v>1391</v>
      </c>
      <c r="L405" s="2" t="s">
        <v>1331</v>
      </c>
      <c r="U405" s="8" t="str">
        <f t="shared" si="1"/>
        <v>CALL InsertOrUpdateProducto('582','Cunnington','Cunnington','45','7','0','','0','','https://img.quodom.com.ar/producto/582.png','Z582','FORMATO','','','');</v>
      </c>
    </row>
    <row r="406">
      <c r="A406" s="2">
        <v>583.0</v>
      </c>
      <c r="B406" s="2" t="s">
        <v>1392</v>
      </c>
      <c r="C406" s="2" t="s">
        <v>1393</v>
      </c>
      <c r="D406" s="2">
        <v>46.0</v>
      </c>
      <c r="E406" s="2">
        <v>7.0</v>
      </c>
      <c r="F406" s="2">
        <v>0.0</v>
      </c>
      <c r="H406" s="2">
        <v>0.0</v>
      </c>
      <c r="J406" s="3" t="s">
        <v>1394</v>
      </c>
      <c r="K406" s="2" t="s">
        <v>1395</v>
      </c>
      <c r="U406" s="8" t="str">
        <f t="shared" si="1"/>
        <v>CALL InsertOrUpdateProducto('583','Cerveza Andes Rubia 473 ml pack 24','Andes Rubia 473 ml pack 24','46','7','0','','0','','https://img.quodom.com.ar/producto/583.png','Z583','','','','');</v>
      </c>
    </row>
    <row r="407">
      <c r="A407" s="2">
        <v>584.0</v>
      </c>
      <c r="B407" s="2" t="s">
        <v>1396</v>
      </c>
      <c r="C407" s="2" t="s">
        <v>1397</v>
      </c>
      <c r="D407" s="2">
        <v>46.0</v>
      </c>
      <c r="E407" s="2">
        <v>7.0</v>
      </c>
      <c r="F407" s="2">
        <v>0.0</v>
      </c>
      <c r="H407" s="2">
        <v>0.0</v>
      </c>
      <c r="J407" s="3" t="s">
        <v>1398</v>
      </c>
      <c r="K407" s="2" t="s">
        <v>1399</v>
      </c>
      <c r="U407" s="8" t="str">
        <f t="shared" si="1"/>
        <v>CALL InsertOrUpdateProducto('584','Cerveza Andes IPA 473 ml pack 24','Andes IPA 473 ml pack 24','46','7','0','','0','','https://img.quodom.com.ar/producto/584.png','Z584','','','','');</v>
      </c>
    </row>
    <row r="408">
      <c r="A408" s="2">
        <v>585.0</v>
      </c>
      <c r="B408" s="2" t="s">
        <v>1400</v>
      </c>
      <c r="C408" s="2" t="s">
        <v>1401</v>
      </c>
      <c r="D408" s="2">
        <v>46.0</v>
      </c>
      <c r="E408" s="2">
        <v>7.0</v>
      </c>
      <c r="F408" s="2">
        <v>0.0</v>
      </c>
      <c r="H408" s="2">
        <v>0.0</v>
      </c>
      <c r="J408" s="3" t="s">
        <v>1402</v>
      </c>
      <c r="K408" s="2" t="s">
        <v>1403</v>
      </c>
      <c r="U408" s="8" t="str">
        <f t="shared" si="1"/>
        <v>CALL InsertOrUpdateProducto('585','Cerveza Andes Roja 473 ml pack 24','Andes Roja 473 ml pack 24','46','7','0','','0','','https://img.quodom.com.ar/producto/585.png','Z585','','','','');</v>
      </c>
    </row>
    <row r="409">
      <c r="A409" s="2">
        <v>586.0</v>
      </c>
      <c r="B409" s="2" t="s">
        <v>1404</v>
      </c>
      <c r="C409" s="2" t="s">
        <v>1405</v>
      </c>
      <c r="D409" s="2">
        <v>46.0</v>
      </c>
      <c r="E409" s="2">
        <v>7.0</v>
      </c>
      <c r="F409" s="2">
        <v>0.0</v>
      </c>
      <c r="H409" s="2">
        <v>0.0</v>
      </c>
      <c r="J409" s="3" t="s">
        <v>1406</v>
      </c>
      <c r="K409" s="2" t="s">
        <v>1407</v>
      </c>
      <c r="U409" s="8" t="str">
        <f t="shared" si="1"/>
        <v>CALL InsertOrUpdateProducto('586','Cerveza Andes Negra 473 ml pack 24','Andes Negra 473 ml pack 24','46','7','0','','0','','https://img.quodom.com.ar/producto/586.png','Z586','','','','');</v>
      </c>
    </row>
    <row r="410">
      <c r="A410" s="2">
        <v>587.0</v>
      </c>
      <c r="B410" s="2" t="s">
        <v>1408</v>
      </c>
      <c r="C410" s="2" t="s">
        <v>1409</v>
      </c>
      <c r="D410" s="2">
        <v>46.0</v>
      </c>
      <c r="E410" s="2">
        <v>7.0</v>
      </c>
      <c r="F410" s="2">
        <v>0.0</v>
      </c>
      <c r="H410" s="2">
        <v>0.0</v>
      </c>
      <c r="J410" s="3" t="s">
        <v>1410</v>
      </c>
      <c r="K410" s="2" t="s">
        <v>1411</v>
      </c>
      <c r="L410" s="2" t="s">
        <v>1331</v>
      </c>
      <c r="U410" s="8" t="str">
        <f t="shared" si="1"/>
        <v>CALL InsertOrUpdateProducto('587','Cerveza Brahma','Brahma','46','7','0','','0','','https://img.quodom.com.ar/producto/587.png','Z587','FORMATO','','','');</v>
      </c>
    </row>
    <row r="411">
      <c r="A411" s="2">
        <v>588.0</v>
      </c>
      <c r="B411" s="2" t="s">
        <v>1412</v>
      </c>
      <c r="C411" s="2" t="s">
        <v>1413</v>
      </c>
      <c r="D411" s="2">
        <v>46.0</v>
      </c>
      <c r="E411" s="2">
        <v>7.0</v>
      </c>
      <c r="F411" s="2">
        <v>0.0</v>
      </c>
      <c r="H411" s="2">
        <v>0.0</v>
      </c>
      <c r="J411" s="3" t="s">
        <v>1414</v>
      </c>
      <c r="K411" s="2" t="s">
        <v>1415</v>
      </c>
      <c r="U411" s="8" t="str">
        <f t="shared" si="1"/>
        <v>CALL InsertOrUpdateProducto('588','Cerveza Imperial Golden 473 ml pack 24','Imperial Golden 473 ml pack 24','46','7','0','','0','','https://img.quodom.com.ar/producto/588.png','Z588','','','','');</v>
      </c>
    </row>
    <row r="412">
      <c r="A412" s="2">
        <v>589.0</v>
      </c>
      <c r="B412" s="2" t="s">
        <v>1416</v>
      </c>
      <c r="C412" s="2" t="s">
        <v>1417</v>
      </c>
      <c r="D412" s="2">
        <v>46.0</v>
      </c>
      <c r="E412" s="2">
        <v>7.0</v>
      </c>
      <c r="F412" s="2">
        <v>0.0</v>
      </c>
      <c r="H412" s="2">
        <v>0.0</v>
      </c>
      <c r="J412" s="3" t="s">
        <v>1418</v>
      </c>
      <c r="K412" s="2" t="s">
        <v>1419</v>
      </c>
      <c r="U412" s="8" t="str">
        <f t="shared" si="1"/>
        <v>CALL InsertOrUpdateProducto('589','Cerveza Imperial Stout 473 ml pack 24','Imperial Stout 473 ml pack 24','46','7','0','','0','','https://img.quodom.com.ar/producto/589.png','Z589','','','','');</v>
      </c>
    </row>
    <row r="413">
      <c r="A413" s="2">
        <v>590.0</v>
      </c>
      <c r="B413" s="2" t="s">
        <v>1420</v>
      </c>
      <c r="C413" s="2" t="s">
        <v>1421</v>
      </c>
      <c r="D413" s="2">
        <v>46.0</v>
      </c>
      <c r="E413" s="2">
        <v>7.0</v>
      </c>
      <c r="F413" s="2">
        <v>0.0</v>
      </c>
      <c r="H413" s="2">
        <v>0.0</v>
      </c>
      <c r="J413" s="3" t="s">
        <v>1422</v>
      </c>
      <c r="K413" s="2" t="s">
        <v>1423</v>
      </c>
      <c r="U413" s="8" t="str">
        <f t="shared" si="1"/>
        <v>CALL InsertOrUpdateProducto('590','Cerveza Imperial Amber 473 ml pack 24','Imperial Amber 473 ml pack 24','46','7','0','','0','','https://img.quodom.com.ar/producto/590.png','Z590','','','','');</v>
      </c>
    </row>
    <row r="414">
      <c r="A414" s="2">
        <v>591.0</v>
      </c>
      <c r="B414" s="2" t="s">
        <v>1424</v>
      </c>
      <c r="C414" s="2" t="s">
        <v>1425</v>
      </c>
      <c r="D414" s="2">
        <v>46.0</v>
      </c>
      <c r="E414" s="2">
        <v>7.0</v>
      </c>
      <c r="F414" s="2">
        <v>0.0</v>
      </c>
      <c r="H414" s="2">
        <v>0.0</v>
      </c>
      <c r="J414" s="3" t="s">
        <v>1426</v>
      </c>
      <c r="K414" s="2" t="s">
        <v>1427</v>
      </c>
      <c r="U414" s="8" t="str">
        <f t="shared" si="1"/>
        <v>CALL InsertOrUpdateProducto('591','Cerveza Imperial APA 473 ml pack 24','Imperial APA 473 ml pack 24','46','7','0','','0','','https://img.quodom.com.ar/producto/591.png','Z591','','','','');</v>
      </c>
    </row>
    <row r="415">
      <c r="A415" s="2">
        <v>592.0</v>
      </c>
      <c r="B415" s="2" t="s">
        <v>1428</v>
      </c>
      <c r="C415" s="2" t="s">
        <v>1429</v>
      </c>
      <c r="D415" s="2">
        <v>46.0</v>
      </c>
      <c r="E415" s="2">
        <v>7.0</v>
      </c>
      <c r="F415" s="2">
        <v>0.0</v>
      </c>
      <c r="H415" s="2">
        <v>0.0</v>
      </c>
      <c r="J415" s="3" t="s">
        <v>1430</v>
      </c>
      <c r="K415" s="2" t="s">
        <v>1431</v>
      </c>
      <c r="U415" s="8" t="str">
        <f t="shared" si="1"/>
        <v>CALL InsertOrUpdateProducto('592','Cerveza Imperial IPA 473 ml pack 24','Imperial IPA 473 ml pack 24','46','7','0','','0','','https://img.quodom.com.ar/producto/592.png','Z592','','','','');</v>
      </c>
    </row>
    <row r="416">
      <c r="A416" s="2">
        <v>593.0</v>
      </c>
      <c r="B416" s="2" t="s">
        <v>1432</v>
      </c>
      <c r="C416" s="2" t="s">
        <v>1433</v>
      </c>
      <c r="D416" s="2">
        <v>46.0</v>
      </c>
      <c r="E416" s="2">
        <v>7.0</v>
      </c>
      <c r="F416" s="2">
        <v>0.0</v>
      </c>
      <c r="H416" s="2">
        <v>0.0</v>
      </c>
      <c r="J416" s="3" t="s">
        <v>1434</v>
      </c>
      <c r="K416" s="2" t="s">
        <v>1435</v>
      </c>
      <c r="U416" s="8" t="str">
        <f t="shared" si="1"/>
        <v>CALL InsertOrUpdateProducto('593','Cerveza Imperial Lager 473 ml pack 24','Imperial Lager 473 ml pack 24','46','7','0','','0','','https://img.quodom.com.ar/producto/593.png','Z593','','','','');</v>
      </c>
    </row>
    <row r="417">
      <c r="A417" s="2">
        <v>594.0</v>
      </c>
      <c r="B417" s="2" t="s">
        <v>1436</v>
      </c>
      <c r="C417" s="2" t="s">
        <v>1437</v>
      </c>
      <c r="D417" s="2">
        <v>46.0</v>
      </c>
      <c r="E417" s="2">
        <v>7.0</v>
      </c>
      <c r="F417" s="2">
        <v>0.0</v>
      </c>
      <c r="H417" s="2">
        <v>0.0</v>
      </c>
      <c r="J417" s="3" t="s">
        <v>1438</v>
      </c>
      <c r="K417" s="2" t="s">
        <v>1439</v>
      </c>
      <c r="U417" s="8" t="str">
        <f t="shared" si="1"/>
        <v>CALL InsertOrUpdateProducto('594','Cerveza Isenbeck 473 ml pack 24','Isenbeck 473 ml pack 24','46','7','0','','0','','https://img.quodom.com.ar/producto/594.png','Z594','','','','');</v>
      </c>
    </row>
    <row r="418">
      <c r="A418" s="2">
        <v>595.0</v>
      </c>
      <c r="B418" s="2" t="s">
        <v>1440</v>
      </c>
      <c r="C418" s="2" t="s">
        <v>1441</v>
      </c>
      <c r="D418" s="2">
        <v>46.0</v>
      </c>
      <c r="E418" s="2">
        <v>7.0</v>
      </c>
      <c r="F418" s="2">
        <v>0.0</v>
      </c>
      <c r="H418" s="2">
        <v>0.0</v>
      </c>
      <c r="J418" s="3" t="s">
        <v>1442</v>
      </c>
      <c r="K418" s="2" t="s">
        <v>1443</v>
      </c>
      <c r="L418" s="2" t="s">
        <v>1331</v>
      </c>
      <c r="U418" s="8" t="str">
        <f t="shared" si="1"/>
        <v>CALL InsertOrUpdateProducto('595','Cerveza Schneider 473 ml pack 24','Schneider 473 ml pack 24','46','7','0','','0','','https://img.quodom.com.ar/producto/595.png','Z595','FORMATO','','','');</v>
      </c>
    </row>
    <row r="419">
      <c r="A419" s="2">
        <v>596.0</v>
      </c>
      <c r="B419" s="2" t="s">
        <v>1444</v>
      </c>
      <c r="C419" s="2" t="s">
        <v>1445</v>
      </c>
      <c r="D419" s="2">
        <v>46.0</v>
      </c>
      <c r="E419" s="2">
        <v>7.0</v>
      </c>
      <c r="F419" s="2">
        <v>0.0</v>
      </c>
      <c r="H419" s="2">
        <v>0.0</v>
      </c>
      <c r="J419" s="3" t="s">
        <v>1446</v>
      </c>
      <c r="K419" s="2" t="s">
        <v>1447</v>
      </c>
      <c r="U419" s="8" t="str">
        <f t="shared" si="1"/>
        <v>CALL InsertOrUpdateProducto('596','Cerveza Warsteiner 473 ml pack 24','Warsteiner 473 ml pack 24','46','7','0','','0','','https://img.quodom.com.ar/producto/596.png','Z596','','','','');</v>
      </c>
    </row>
    <row r="420">
      <c r="A420" s="2">
        <v>597.0</v>
      </c>
      <c r="B420" s="2" t="s">
        <v>1448</v>
      </c>
      <c r="C420" s="2" t="s">
        <v>1449</v>
      </c>
      <c r="D420" s="2">
        <v>46.0</v>
      </c>
      <c r="E420" s="2">
        <v>7.0</v>
      </c>
      <c r="F420" s="2">
        <v>0.0</v>
      </c>
      <c r="H420" s="2">
        <v>0.0</v>
      </c>
      <c r="J420" s="3" t="s">
        <v>1450</v>
      </c>
      <c r="K420" s="2" t="s">
        <v>1451</v>
      </c>
      <c r="U420" s="8" t="str">
        <f t="shared" si="1"/>
        <v>CALL InsertOrUpdateProducto('597','Cerveza Corona porrón 330 ml pack 24','Corona porrón 330 ml pack 24','46','7','0','','0','','https://img.quodom.com.ar/producto/597.png','Z597','','','','');</v>
      </c>
    </row>
    <row r="421">
      <c r="A421" s="2">
        <v>598.0</v>
      </c>
      <c r="B421" s="2" t="s">
        <v>1452</v>
      </c>
      <c r="C421" s="2" t="s">
        <v>1453</v>
      </c>
      <c r="D421" s="2">
        <v>46.0</v>
      </c>
      <c r="E421" s="2">
        <v>7.0</v>
      </c>
      <c r="F421" s="2">
        <v>0.0</v>
      </c>
      <c r="H421" s="2">
        <v>0.0</v>
      </c>
      <c r="J421" s="3" t="s">
        <v>1454</v>
      </c>
      <c r="K421" s="2" t="s">
        <v>1455</v>
      </c>
      <c r="U421" s="8" t="str">
        <f t="shared" si="1"/>
        <v>CALL InsertOrUpdateProducto('598','Cerveza Heineken 473 ml pack 24','Heineken 473 ml pack 24','46','7','0','','0','','https://img.quodom.com.ar/producto/598.png','Z598','','','','');</v>
      </c>
    </row>
    <row r="422">
      <c r="A422" s="2">
        <v>599.0</v>
      </c>
      <c r="B422" s="2" t="s">
        <v>1456</v>
      </c>
      <c r="C422" s="2" t="s">
        <v>1457</v>
      </c>
      <c r="D422" s="2">
        <v>46.0</v>
      </c>
      <c r="E422" s="2">
        <v>7.0</v>
      </c>
      <c r="F422" s="2">
        <v>0.0</v>
      </c>
      <c r="H422" s="2">
        <v>0.0</v>
      </c>
      <c r="J422" s="3" t="s">
        <v>1458</v>
      </c>
      <c r="K422" s="2" t="s">
        <v>1459</v>
      </c>
      <c r="L422" s="2" t="s">
        <v>1331</v>
      </c>
      <c r="U422" s="8" t="str">
        <f t="shared" si="1"/>
        <v>CALL InsertOrUpdateProducto('599','Cerveza Patagonia','Patagonia','46','7','0','','0','','https://img.quodom.com.ar/producto/599.png','Z599','FORMATO','','','');</v>
      </c>
    </row>
    <row r="423">
      <c r="A423" s="2">
        <v>600.0</v>
      </c>
      <c r="B423" s="2" t="s">
        <v>1460</v>
      </c>
      <c r="C423" s="2" t="s">
        <v>1461</v>
      </c>
      <c r="D423" s="2">
        <v>46.0</v>
      </c>
      <c r="E423" s="2">
        <v>7.0</v>
      </c>
      <c r="F423" s="2">
        <v>0.0</v>
      </c>
      <c r="H423" s="2">
        <v>0.0</v>
      </c>
      <c r="J423" s="3" t="s">
        <v>1462</v>
      </c>
      <c r="K423" s="2" t="s">
        <v>1463</v>
      </c>
      <c r="U423" s="8" t="str">
        <f t="shared" si="1"/>
        <v>CALL InsertOrUpdateProducto('600','Cerveza Stella Artois 473 ml pack 24','Stella Artois 473 ml pack 24','46','7','0','','0','','https://img.quodom.com.ar/producto/600.png','Z600','','','','');</v>
      </c>
    </row>
    <row r="424">
      <c r="A424" s="2">
        <v>601.0</v>
      </c>
      <c r="B424" s="2" t="s">
        <v>1464</v>
      </c>
      <c r="C424" s="2" t="s">
        <v>1464</v>
      </c>
      <c r="D424" s="2">
        <v>47.0</v>
      </c>
      <c r="E424" s="2">
        <v>7.0</v>
      </c>
      <c r="F424" s="2">
        <v>0.0</v>
      </c>
      <c r="H424" s="2">
        <v>0.0</v>
      </c>
      <c r="J424" s="3" t="s">
        <v>1465</v>
      </c>
      <c r="K424" s="2" t="s">
        <v>1466</v>
      </c>
      <c r="L424" s="2" t="s">
        <v>1331</v>
      </c>
      <c r="U424" s="8" t="str">
        <f t="shared" si="1"/>
        <v>CALL InsertOrUpdateProducto('601','Agua Villavicencio Reserva','Agua Villavicencio Reserva','47','7','0','','0','','https://img.quodom.com.ar/producto/601.png','Z601','FORMATO','','','');</v>
      </c>
    </row>
    <row r="425">
      <c r="A425" s="2">
        <v>602.0</v>
      </c>
      <c r="B425" s="2" t="s">
        <v>1467</v>
      </c>
      <c r="C425" s="2" t="s">
        <v>1467</v>
      </c>
      <c r="D425" s="2">
        <v>47.0</v>
      </c>
      <c r="E425" s="2">
        <v>7.0</v>
      </c>
      <c r="F425" s="2">
        <v>0.0</v>
      </c>
      <c r="H425" s="2">
        <v>0.0</v>
      </c>
      <c r="J425" s="3" t="s">
        <v>1468</v>
      </c>
      <c r="K425" s="2" t="s">
        <v>1469</v>
      </c>
      <c r="L425" s="2" t="s">
        <v>1331</v>
      </c>
      <c r="U425" s="8" t="str">
        <f t="shared" si="1"/>
        <v>CALL InsertOrUpdateProducto('602','Agua Villavicencio','Agua Villavicencio','47','7','0','','0','','https://img.quodom.com.ar/producto/602.png','Z602','FORMATO','','','');</v>
      </c>
    </row>
    <row r="426">
      <c r="A426" s="2">
        <v>603.0</v>
      </c>
      <c r="B426" s="2" t="s">
        <v>1470</v>
      </c>
      <c r="C426" s="2" t="s">
        <v>1470</v>
      </c>
      <c r="D426" s="2">
        <v>47.0</v>
      </c>
      <c r="E426" s="2">
        <v>7.0</v>
      </c>
      <c r="F426" s="2">
        <v>0.0</v>
      </c>
      <c r="H426" s="2">
        <v>0.0</v>
      </c>
      <c r="J426" s="3" t="s">
        <v>1471</v>
      </c>
      <c r="K426" s="2" t="s">
        <v>1472</v>
      </c>
      <c r="L426" s="2" t="s">
        <v>1331</v>
      </c>
      <c r="U426" s="8" t="str">
        <f t="shared" si="1"/>
        <v>CALL InsertOrUpdateProducto('603','Jugo Baggio','Jugo Baggio','47','7','0','','0','','https://img.quodom.com.ar/producto/603.png','Z603','FORMATO','','','');</v>
      </c>
    </row>
    <row r="427">
      <c r="A427" s="2">
        <v>604.0</v>
      </c>
      <c r="B427" s="2" t="s">
        <v>1473</v>
      </c>
      <c r="C427" s="2" t="s">
        <v>1473</v>
      </c>
      <c r="D427" s="2">
        <v>48.0</v>
      </c>
      <c r="E427" s="2">
        <v>7.0</v>
      </c>
      <c r="F427" s="2">
        <v>0.0</v>
      </c>
      <c r="H427" s="2">
        <v>0.0</v>
      </c>
      <c r="J427" s="3" t="s">
        <v>1474</v>
      </c>
      <c r="K427" s="2" t="s">
        <v>1475</v>
      </c>
      <c r="U427" s="8" t="str">
        <f t="shared" si="1"/>
        <v>CALL InsertOrUpdateProducto('604','Aperol 750 ml (Caja x 6)','Aperol 750 ml (Caja x 6)','48','7','0','','0','','https://img.quodom.com.ar/producto/604.png','Z604','','','','');</v>
      </c>
    </row>
    <row r="428">
      <c r="A428" s="2">
        <v>605.0</v>
      </c>
      <c r="B428" s="2" t="s">
        <v>1476</v>
      </c>
      <c r="C428" s="2" t="s">
        <v>1476</v>
      </c>
      <c r="D428" s="2">
        <v>48.0</v>
      </c>
      <c r="E428" s="2">
        <v>7.0</v>
      </c>
      <c r="F428" s="2">
        <v>0.0</v>
      </c>
      <c r="H428" s="2">
        <v>0.0</v>
      </c>
      <c r="J428" s="3" t="s">
        <v>1477</v>
      </c>
      <c r="K428" s="2" t="s">
        <v>1478</v>
      </c>
      <c r="L428" s="2" t="s">
        <v>1331</v>
      </c>
      <c r="U428" s="8" t="str">
        <f t="shared" si="1"/>
        <v>CALL InsertOrUpdateProducto('605','Fernet Branca','Fernet Branca','48','7','0','','0','','https://img.quodom.com.ar/producto/605.png','Z605','FORMATO','','','');</v>
      </c>
    </row>
    <row r="429">
      <c r="A429" s="2">
        <v>606.0</v>
      </c>
      <c r="B429" s="2" t="s">
        <v>1479</v>
      </c>
      <c r="C429" s="2" t="s">
        <v>1479</v>
      </c>
      <c r="D429" s="2">
        <v>48.0</v>
      </c>
      <c r="E429" s="2">
        <v>7.0</v>
      </c>
      <c r="F429" s="2">
        <v>0.0</v>
      </c>
      <c r="H429" s="2">
        <v>0.0</v>
      </c>
      <c r="J429" s="3" t="s">
        <v>1480</v>
      </c>
      <c r="K429" s="2" t="s">
        <v>1481</v>
      </c>
      <c r="L429" s="2" t="s">
        <v>1331</v>
      </c>
      <c r="U429" s="8" t="str">
        <f t="shared" si="1"/>
        <v>CALL InsertOrUpdateProducto('606','Fernet Branca Menta','Fernet Branca Menta','48','7','0','','0','','https://img.quodom.com.ar/producto/606.png','Z606','FORMATO','','','');</v>
      </c>
    </row>
    <row r="430">
      <c r="A430" s="2">
        <v>607.0</v>
      </c>
      <c r="B430" s="2" t="s">
        <v>1482</v>
      </c>
      <c r="C430" s="2" t="s">
        <v>1482</v>
      </c>
      <c r="D430" s="2">
        <v>48.0</v>
      </c>
      <c r="E430" s="2">
        <v>7.0</v>
      </c>
      <c r="F430" s="2">
        <v>0.0</v>
      </c>
      <c r="H430" s="2">
        <v>0.0</v>
      </c>
      <c r="J430" s="3" t="s">
        <v>1483</v>
      </c>
      <c r="K430" s="2" t="s">
        <v>1484</v>
      </c>
      <c r="U430" s="8" t="str">
        <f t="shared" si="1"/>
        <v>CALL InsertOrUpdateProducto('607','Campari 750 ml (Caja x 6)','Campari 750 ml (Caja x 6)','48','7','0','','0','','https://img.quodom.com.ar/producto/607.png','Z607','','','','');</v>
      </c>
    </row>
    <row r="431">
      <c r="A431" s="2">
        <v>608.0</v>
      </c>
      <c r="B431" s="2" t="s">
        <v>1485</v>
      </c>
      <c r="C431" s="2" t="s">
        <v>1485</v>
      </c>
      <c r="D431" s="2">
        <v>48.0</v>
      </c>
      <c r="E431" s="2">
        <v>7.0</v>
      </c>
      <c r="F431" s="2">
        <v>0.0</v>
      </c>
      <c r="H431" s="2">
        <v>0.0</v>
      </c>
      <c r="J431" s="3" t="s">
        <v>1486</v>
      </c>
      <c r="K431" s="2" t="s">
        <v>1487</v>
      </c>
      <c r="U431" s="8" t="str">
        <f t="shared" si="1"/>
        <v>CALL InsertOrUpdateProducto('608','Carpano Rosso 950 ml (Caja x 6)','Carpano Rosso 950 ml (Caja x 6)','48','7','0','','0','','https://img.quodom.com.ar/producto/608.png','Z608','','','','');</v>
      </c>
    </row>
    <row r="432">
      <c r="A432" s="2">
        <v>609.0</v>
      </c>
      <c r="B432" s="2" t="s">
        <v>1488</v>
      </c>
      <c r="C432" s="2" t="s">
        <v>1488</v>
      </c>
      <c r="D432" s="2">
        <v>48.0</v>
      </c>
      <c r="E432" s="2">
        <v>7.0</v>
      </c>
      <c r="F432" s="2">
        <v>0.0</v>
      </c>
      <c r="H432" s="2">
        <v>0.0</v>
      </c>
      <c r="J432" s="3" t="s">
        <v>1489</v>
      </c>
      <c r="K432" s="2" t="s">
        <v>1490</v>
      </c>
      <c r="U432" s="8" t="str">
        <f t="shared" si="1"/>
        <v>CALL InsertOrUpdateProducto('609','Cazalis leger 950 ml (Caja x 6)','Cazalis leger 950 ml (Caja x 6)','48','7','0','','0','','https://img.quodom.com.ar/producto/609.png','Z609','','','','');</v>
      </c>
    </row>
    <row r="433">
      <c r="A433" s="2">
        <v>610.0</v>
      </c>
      <c r="B433" s="2" t="s">
        <v>1491</v>
      </c>
      <c r="C433" s="2" t="s">
        <v>1491</v>
      </c>
      <c r="D433" s="2">
        <v>48.0</v>
      </c>
      <c r="E433" s="2">
        <v>7.0</v>
      </c>
      <c r="F433" s="2">
        <v>0.0</v>
      </c>
      <c r="H433" s="2">
        <v>0.0</v>
      </c>
      <c r="J433" s="3" t="s">
        <v>1492</v>
      </c>
      <c r="K433" s="2" t="s">
        <v>1493</v>
      </c>
      <c r="U433" s="8" t="str">
        <f t="shared" si="1"/>
        <v>CALL InsertOrUpdateProducto('610','Cinzano 1 lt (Caja x 6)','Cinzano 1 lt (Caja x 6)','48','7','0','','0','','https://img.quodom.com.ar/producto/610.png','Z610','','','','');</v>
      </c>
    </row>
    <row r="434">
      <c r="A434" s="2">
        <v>611.0</v>
      </c>
      <c r="B434" s="2" t="s">
        <v>1494</v>
      </c>
      <c r="C434" s="2" t="s">
        <v>1494</v>
      </c>
      <c r="D434" s="2">
        <v>48.0</v>
      </c>
      <c r="E434" s="2">
        <v>7.0</v>
      </c>
      <c r="F434" s="2">
        <v>0.0</v>
      </c>
      <c r="H434" s="2">
        <v>0.0</v>
      </c>
      <c r="J434" s="3" t="s">
        <v>1495</v>
      </c>
      <c r="K434" s="2" t="s">
        <v>1496</v>
      </c>
      <c r="U434" s="8" t="str">
        <f t="shared" si="1"/>
        <v>CALL InsertOrUpdateProducto('611','Cynar 70 proof 750 ml (Caja x 6)','Cynar 70 proof 750 ml (Caja x 6)','48','7','0','','0','','https://img.quodom.com.ar/producto/611.png','Z611','','','','');</v>
      </c>
    </row>
    <row r="435">
      <c r="A435" s="2">
        <v>612.0</v>
      </c>
      <c r="B435" s="2" t="s">
        <v>1497</v>
      </c>
      <c r="C435" s="2" t="s">
        <v>1497</v>
      </c>
      <c r="D435" s="2">
        <v>48.0</v>
      </c>
      <c r="E435" s="2">
        <v>7.0</v>
      </c>
      <c r="F435" s="2">
        <v>0.0</v>
      </c>
      <c r="H435" s="2">
        <v>0.0</v>
      </c>
      <c r="J435" s="3" t="s">
        <v>1498</v>
      </c>
      <c r="K435" s="2" t="s">
        <v>1499</v>
      </c>
      <c r="U435" s="8" t="str">
        <f t="shared" si="1"/>
        <v>CALL InsertOrUpdateProducto('612','Cynar 750 ml (Caja x 6)','Cynar 750 ml (Caja x 6)','48','7','0','','0','','https://img.quodom.com.ar/producto/612.png','Z612','','','','');</v>
      </c>
    </row>
    <row r="436">
      <c r="A436" s="2">
        <v>613.0</v>
      </c>
      <c r="B436" s="2" t="s">
        <v>1500</v>
      </c>
      <c r="C436" s="2" t="s">
        <v>1500</v>
      </c>
      <c r="D436" s="2">
        <v>48.0</v>
      </c>
      <c r="E436" s="2">
        <v>7.0</v>
      </c>
      <c r="F436" s="2">
        <v>0.0</v>
      </c>
      <c r="H436" s="2">
        <v>0.0</v>
      </c>
      <c r="J436" s="3" t="s">
        <v>1501</v>
      </c>
      <c r="K436" s="2" t="s">
        <v>1502</v>
      </c>
      <c r="U436" s="8" t="str">
        <f t="shared" si="1"/>
        <v>CALL InsertOrUpdateProducto('613','Gancia 950 ml (Caja x 6)','Gancia 950 ml (Caja x 6)','48','7','0','','0','','https://img.quodom.com.ar/producto/613.png','Z613','','','','');</v>
      </c>
    </row>
    <row r="437">
      <c r="A437" s="2">
        <v>614.0</v>
      </c>
      <c r="B437" s="2" t="s">
        <v>1503</v>
      </c>
      <c r="C437" s="2" t="s">
        <v>1503</v>
      </c>
      <c r="D437" s="2">
        <v>48.0</v>
      </c>
      <c r="E437" s="2">
        <v>7.0</v>
      </c>
      <c r="F437" s="2">
        <v>0.0</v>
      </c>
      <c r="H437" s="2">
        <v>0.0</v>
      </c>
      <c r="J437" s="3" t="s">
        <v>1504</v>
      </c>
      <c r="K437" s="2" t="s">
        <v>1505</v>
      </c>
      <c r="U437" s="8" t="str">
        <f t="shared" si="1"/>
        <v>CALL InsertOrUpdateProducto('614','Hesperidina 1 lt (Caja x 6)','Hesperidina 1 lt (Caja x 6)','48','7','0','','0','','https://img.quodom.com.ar/producto/614.png','Z614','','','','');</v>
      </c>
    </row>
    <row r="438">
      <c r="A438" s="2">
        <v>615.0</v>
      </c>
      <c r="B438" s="2" t="s">
        <v>1506</v>
      </c>
      <c r="C438" s="2" t="s">
        <v>1506</v>
      </c>
      <c r="D438" s="2">
        <v>48.0</v>
      </c>
      <c r="E438" s="2">
        <v>7.0</v>
      </c>
      <c r="F438" s="2">
        <v>0.0</v>
      </c>
      <c r="H438" s="2">
        <v>0.0</v>
      </c>
      <c r="J438" s="3" t="s">
        <v>1507</v>
      </c>
      <c r="K438" s="2" t="s">
        <v>1508</v>
      </c>
      <c r="U438" s="8" t="str">
        <f t="shared" si="1"/>
        <v>CALL InsertOrUpdateProducto('615','Martini Bianco 1 lt (Caja x 6)','Martini Bianco 1 lt (Caja x 6)','48','7','0','','0','','https://img.quodom.com.ar/producto/615.png','Z615','','','','');</v>
      </c>
    </row>
    <row r="439">
      <c r="A439" s="2">
        <v>616.0</v>
      </c>
      <c r="B439" s="2" t="s">
        <v>1509</v>
      </c>
      <c r="C439" s="2" t="s">
        <v>1509</v>
      </c>
      <c r="D439" s="2">
        <v>48.0</v>
      </c>
      <c r="E439" s="2">
        <v>7.0</v>
      </c>
      <c r="F439" s="2">
        <v>0.0</v>
      </c>
      <c r="H439" s="2">
        <v>0.0</v>
      </c>
      <c r="J439" s="3" t="s">
        <v>1510</v>
      </c>
      <c r="K439" s="2" t="s">
        <v>1511</v>
      </c>
      <c r="U439" s="8" t="str">
        <f t="shared" si="1"/>
        <v>CALL InsertOrUpdateProducto('616','Pineral 750 ml (Caja x 6)','Pineral 750 ml (Caja x 6)','48','7','0','','0','','https://img.quodom.com.ar/producto/616.png','Z616','','','','');</v>
      </c>
    </row>
    <row r="440">
      <c r="A440" s="2">
        <v>617.0</v>
      </c>
      <c r="B440" s="2" t="s">
        <v>1512</v>
      </c>
      <c r="C440" s="2" t="s">
        <v>1512</v>
      </c>
      <c r="D440" s="2">
        <v>48.0</v>
      </c>
      <c r="E440" s="2">
        <v>7.0</v>
      </c>
      <c r="F440" s="2">
        <v>0.0</v>
      </c>
      <c r="H440" s="2">
        <v>0.0</v>
      </c>
      <c r="J440" s="3" t="s">
        <v>1513</v>
      </c>
      <c r="K440" s="2" t="s">
        <v>1514</v>
      </c>
      <c r="U440" s="8" t="str">
        <f t="shared" si="1"/>
        <v>CALL InsertOrUpdateProducto('617','Punt E Mes 750 ml (Caja x 6)','Punt E Mes 750 ml (Caja x 6)','48','7','0','','0','','https://img.quodom.com.ar/producto/617.png','Z617','','','','');</v>
      </c>
    </row>
    <row r="441">
      <c r="A441" s="2">
        <v>618.0</v>
      </c>
      <c r="B441" s="2" t="s">
        <v>1515</v>
      </c>
      <c r="C441" s="2" t="s">
        <v>1515</v>
      </c>
      <c r="D441" s="2">
        <v>49.0</v>
      </c>
      <c r="E441" s="2">
        <v>7.0</v>
      </c>
      <c r="F441" s="2">
        <v>0.0</v>
      </c>
      <c r="H441" s="2">
        <v>0.0</v>
      </c>
      <c r="J441" s="3" t="s">
        <v>1516</v>
      </c>
      <c r="K441" s="2" t="s">
        <v>1517</v>
      </c>
      <c r="U441" s="8" t="str">
        <f t="shared" si="1"/>
        <v>CALL InsertOrUpdateProducto('618','Vino Encuentro Malbec Rutini 6 unidades','Vino Encuentro Malbec Rutini 6 unidades','49','7','0','','0','','https://img.quodom.com.ar/producto/618.png','Z618','','','','');</v>
      </c>
    </row>
    <row r="442">
      <c r="A442" s="2">
        <v>619.0</v>
      </c>
      <c r="B442" s="2" t="s">
        <v>1518</v>
      </c>
      <c r="C442" s="2" t="s">
        <v>1518</v>
      </c>
      <c r="D442" s="2">
        <v>49.0</v>
      </c>
      <c r="E442" s="2">
        <v>7.0</v>
      </c>
      <c r="F442" s="2">
        <v>0.0</v>
      </c>
      <c r="H442" s="2">
        <v>0.0</v>
      </c>
      <c r="J442" s="3" t="s">
        <v>1519</v>
      </c>
      <c r="K442" s="2" t="s">
        <v>1520</v>
      </c>
      <c r="L442" s="2" t="s">
        <v>1521</v>
      </c>
      <c r="U442" s="8" t="str">
        <f t="shared" si="1"/>
        <v>CALL InsertOrUpdateProducto('619','Vino Rutini','Vino Rutini','49','7','0','','0','','https://img.quodom.com.ar/producto/619.png','Z619','VARIEDAD','','','');</v>
      </c>
    </row>
    <row r="443">
      <c r="A443" s="2">
        <v>620.0</v>
      </c>
      <c r="B443" s="2" t="s">
        <v>1522</v>
      </c>
      <c r="C443" s="2" t="s">
        <v>1522</v>
      </c>
      <c r="D443" s="2">
        <v>49.0</v>
      </c>
      <c r="E443" s="2">
        <v>7.0</v>
      </c>
      <c r="F443" s="2">
        <v>0.0</v>
      </c>
      <c r="H443" s="2">
        <v>0.0</v>
      </c>
      <c r="J443" s="3" t="s">
        <v>1523</v>
      </c>
      <c r="K443" s="2" t="s">
        <v>1524</v>
      </c>
      <c r="L443" s="2" t="s">
        <v>1521</v>
      </c>
      <c r="U443" s="8" t="str">
        <f t="shared" si="1"/>
        <v>CALL InsertOrUpdateProducto('620','Vino Trumpeter','Vino Trumpeter','49','7','0','','0','','https://img.quodom.com.ar/producto/620.png','Z620','VARIEDAD','','','');</v>
      </c>
    </row>
    <row r="444">
      <c r="A444" s="2">
        <v>621.0</v>
      </c>
      <c r="B444" s="2" t="s">
        <v>1525</v>
      </c>
      <c r="C444" s="2" t="s">
        <v>1525</v>
      </c>
      <c r="D444" s="2">
        <v>49.0</v>
      </c>
      <c r="E444" s="2">
        <v>7.0</v>
      </c>
      <c r="F444" s="2">
        <v>0.0</v>
      </c>
      <c r="H444" s="2">
        <v>0.0</v>
      </c>
      <c r="J444" s="3" t="s">
        <v>1526</v>
      </c>
      <c r="K444" s="2" t="s">
        <v>1527</v>
      </c>
      <c r="U444" s="8" t="str">
        <f t="shared" si="1"/>
        <v>CALL InsertOrUpdateProducto('621','Vino Latitud 33 Malbec 6 unidades','Vino Latitud 33 Malbec 6 unidades','49','7','0','','0','','https://img.quodom.com.ar/producto/621.png','Z621','','','','');</v>
      </c>
    </row>
    <row r="445">
      <c r="A445" s="2">
        <v>622.0</v>
      </c>
      <c r="B445" s="2" t="s">
        <v>1528</v>
      </c>
      <c r="C445" s="2" t="s">
        <v>1528</v>
      </c>
      <c r="D445" s="2">
        <v>49.0</v>
      </c>
      <c r="E445" s="2">
        <v>7.0</v>
      </c>
      <c r="F445" s="2">
        <v>0.0</v>
      </c>
      <c r="H445" s="2">
        <v>0.0</v>
      </c>
      <c r="J445" s="3" t="s">
        <v>1529</v>
      </c>
      <c r="K445" s="2" t="s">
        <v>1530</v>
      </c>
      <c r="U445" s="8" t="str">
        <f t="shared" si="1"/>
        <v>CALL InsertOrUpdateProducto('622','Vino Valmont Tinto 6 unidades','Vino Valmont Tinto 6 unidades','49','7','0','','0','','https://img.quodom.com.ar/producto/622.png','Z622','','','','');</v>
      </c>
    </row>
    <row r="446">
      <c r="A446" s="2">
        <v>623.0</v>
      </c>
      <c r="B446" s="2" t="s">
        <v>1531</v>
      </c>
      <c r="C446" s="2" t="s">
        <v>1531</v>
      </c>
      <c r="D446" s="2">
        <v>49.0</v>
      </c>
      <c r="E446" s="2">
        <v>7.0</v>
      </c>
      <c r="F446" s="2">
        <v>0.0</v>
      </c>
      <c r="H446" s="2">
        <v>0.0</v>
      </c>
      <c r="J446" s="3" t="s">
        <v>1532</v>
      </c>
      <c r="K446" s="2" t="s">
        <v>1533</v>
      </c>
      <c r="L446" s="2" t="s">
        <v>1521</v>
      </c>
      <c r="U446" s="8" t="str">
        <f t="shared" si="1"/>
        <v>CALL InsertOrUpdateProducto('623','Vino Elementos','Vino Elementos','49','7','0','','0','','https://img.quodom.com.ar/producto/623.png','Z623','VARIEDAD','','','');</v>
      </c>
    </row>
    <row r="447">
      <c r="A447" s="2">
        <v>624.0</v>
      </c>
      <c r="B447" s="2" t="s">
        <v>1534</v>
      </c>
      <c r="C447" s="2" t="s">
        <v>1534</v>
      </c>
      <c r="D447" s="2">
        <v>49.0</v>
      </c>
      <c r="E447" s="2">
        <v>7.0</v>
      </c>
      <c r="F447" s="2">
        <v>0.0</v>
      </c>
      <c r="H447" s="2">
        <v>0.0</v>
      </c>
      <c r="J447" s="3" t="s">
        <v>1535</v>
      </c>
      <c r="K447" s="2" t="s">
        <v>1536</v>
      </c>
      <c r="L447" s="2" t="s">
        <v>1521</v>
      </c>
      <c r="U447" s="8" t="str">
        <f t="shared" si="1"/>
        <v>CALL InsertOrUpdateProducto('624','Vino Don David','Vino Don David','49','7','0','','0','','https://img.quodom.com.ar/producto/624.png','Z624','VARIEDAD','','','');</v>
      </c>
    </row>
    <row r="448">
      <c r="A448" s="2">
        <v>625.0</v>
      </c>
      <c r="B448" s="2" t="s">
        <v>1537</v>
      </c>
      <c r="C448" s="2" t="s">
        <v>1537</v>
      </c>
      <c r="D448" s="2">
        <v>49.0</v>
      </c>
      <c r="E448" s="2">
        <v>7.0</v>
      </c>
      <c r="F448" s="2">
        <v>0.0</v>
      </c>
      <c r="H448" s="2">
        <v>0.0</v>
      </c>
      <c r="J448" s="3" t="s">
        <v>1538</v>
      </c>
      <c r="K448" s="2" t="s">
        <v>1539</v>
      </c>
      <c r="L448" s="2" t="s">
        <v>1521</v>
      </c>
      <c r="U448" s="8" t="str">
        <f t="shared" si="1"/>
        <v>CALL InsertOrUpdateProducto('625','Vino Luigi Bosca Malbec','Vino Luigi Bosca Malbec','49','7','0','','0','','https://img.quodom.com.ar/producto/625.png','Z625','VARIEDAD','','','');</v>
      </c>
    </row>
    <row r="449">
      <c r="A449" s="2">
        <v>626.0</v>
      </c>
      <c r="B449" s="2" t="s">
        <v>1540</v>
      </c>
      <c r="C449" s="2" t="s">
        <v>1540</v>
      </c>
      <c r="D449" s="2">
        <v>49.0</v>
      </c>
      <c r="E449" s="2">
        <v>7.0</v>
      </c>
      <c r="F449" s="2">
        <v>0.0</v>
      </c>
      <c r="H449" s="2">
        <v>0.0</v>
      </c>
      <c r="J449" s="3" t="s">
        <v>1541</v>
      </c>
      <c r="K449" s="2" t="s">
        <v>1542</v>
      </c>
      <c r="L449" s="2" t="s">
        <v>1521</v>
      </c>
      <c r="U449" s="8" t="str">
        <f t="shared" si="1"/>
        <v>CALL InsertOrUpdateProducto('626','Vino Finca La Linda Malbec','Vino Finca La Linda Malbec','49','7','0','','0','','https://img.quodom.com.ar/producto/626.png','Z626','VARIEDAD','','','');</v>
      </c>
    </row>
    <row r="450">
      <c r="A450" s="2">
        <v>627.0</v>
      </c>
      <c r="B450" s="2" t="s">
        <v>1543</v>
      </c>
      <c r="C450" s="2" t="s">
        <v>1543</v>
      </c>
      <c r="D450" s="2">
        <v>49.0</v>
      </c>
      <c r="E450" s="2">
        <v>7.0</v>
      </c>
      <c r="F450" s="2">
        <v>0.0</v>
      </c>
      <c r="H450" s="2">
        <v>0.0</v>
      </c>
      <c r="J450" s="3" t="s">
        <v>1544</v>
      </c>
      <c r="K450" s="2" t="s">
        <v>1545</v>
      </c>
      <c r="L450" s="2" t="s">
        <v>1521</v>
      </c>
      <c r="U450" s="8" t="str">
        <f t="shared" si="1"/>
        <v>CALL InsertOrUpdateProducto('627','Vino DV Catena Malbec','Vino DV Catena Malbec','49','7','0','','0','','https://img.quodom.com.ar/producto/627.png','Z627','VARIEDAD','','','');</v>
      </c>
    </row>
    <row r="451">
      <c r="A451" s="2">
        <v>628.0</v>
      </c>
      <c r="B451" s="2" t="s">
        <v>1546</v>
      </c>
      <c r="C451" s="2" t="s">
        <v>1546</v>
      </c>
      <c r="D451" s="2">
        <v>49.0</v>
      </c>
      <c r="E451" s="2">
        <v>7.0</v>
      </c>
      <c r="F451" s="2">
        <v>0.0</v>
      </c>
      <c r="H451" s="2">
        <v>0.0</v>
      </c>
      <c r="J451" s="3" t="s">
        <v>1547</v>
      </c>
      <c r="K451" s="2" t="s">
        <v>1548</v>
      </c>
      <c r="L451" s="2" t="s">
        <v>1521</v>
      </c>
      <c r="U451" s="8" t="str">
        <f t="shared" si="1"/>
        <v>CALL InsertOrUpdateProducto('628','Vino Nicasia','Vino Nicasia','49','7','0','','0','','https://img.quodom.com.ar/producto/628.png','Z628','VARIEDAD','','','');</v>
      </c>
    </row>
    <row r="452">
      <c r="A452" s="2">
        <v>629.0</v>
      </c>
      <c r="B452" s="2" t="s">
        <v>1549</v>
      </c>
      <c r="C452" s="2" t="s">
        <v>1549</v>
      </c>
      <c r="D452" s="2">
        <v>49.0</v>
      </c>
      <c r="E452" s="2">
        <v>7.0</v>
      </c>
      <c r="F452" s="2">
        <v>0.0</v>
      </c>
      <c r="H452" s="2">
        <v>0.0</v>
      </c>
      <c r="J452" s="3" t="s">
        <v>1550</v>
      </c>
      <c r="K452" s="2" t="s">
        <v>1551</v>
      </c>
      <c r="U452" s="8" t="str">
        <f t="shared" si="1"/>
        <v>CALL InsertOrUpdateProducto('629','Vino Angelica Zapata Malbec 6 unidades','Vino Angelica Zapata Malbec 6 unidades','49','7','0','','0','','https://img.quodom.com.ar/producto/629.png','Z629','','','','');</v>
      </c>
    </row>
    <row r="453">
      <c r="A453" s="2">
        <v>630.0</v>
      </c>
      <c r="B453" s="2" t="s">
        <v>1552</v>
      </c>
      <c r="C453" s="2" t="s">
        <v>1552</v>
      </c>
      <c r="D453" s="2">
        <v>49.0</v>
      </c>
      <c r="E453" s="2">
        <v>7.0</v>
      </c>
      <c r="F453" s="2">
        <v>0.0</v>
      </c>
      <c r="H453" s="2">
        <v>0.0</v>
      </c>
      <c r="J453" s="3" t="s">
        <v>1553</v>
      </c>
      <c r="K453" s="2" t="s">
        <v>1554</v>
      </c>
      <c r="U453" s="8" t="str">
        <f t="shared" si="1"/>
        <v>CALL InsertOrUpdateProducto('630','Vino Alto Uxmal Malbec 750 ml Malbec 6 unidades','Vino Alto Uxmal Malbec 750 ml Malbec 6 unidades','49','7','0','','0','','https://img.quodom.com.ar/producto/630.png','Z630','','','','');</v>
      </c>
    </row>
    <row r="454">
      <c r="A454" s="2">
        <v>631.0</v>
      </c>
      <c r="B454" s="2" t="s">
        <v>1555</v>
      </c>
      <c r="C454" s="2" t="s">
        <v>1555</v>
      </c>
      <c r="D454" s="2">
        <v>49.0</v>
      </c>
      <c r="E454" s="2">
        <v>7.0</v>
      </c>
      <c r="F454" s="2">
        <v>0.0</v>
      </c>
      <c r="H454" s="2">
        <v>0.0</v>
      </c>
      <c r="J454" s="3" t="s">
        <v>1556</v>
      </c>
      <c r="K454" s="2" t="s">
        <v>1557</v>
      </c>
      <c r="U454" s="8" t="str">
        <f t="shared" si="1"/>
        <v>CALL InsertOrUpdateProducto('631','Vino Estiba 1 Malbec 6 unidades','Vino Estiba 1 Malbec 6 unidades','49','7','0','','0','','https://img.quodom.com.ar/producto/631.png','Z631','','','','');</v>
      </c>
    </row>
    <row r="455">
      <c r="A455" s="2">
        <v>632.0</v>
      </c>
      <c r="B455" s="2" t="s">
        <v>1558</v>
      </c>
      <c r="C455" s="2" t="s">
        <v>1558</v>
      </c>
      <c r="D455" s="2">
        <v>49.0</v>
      </c>
      <c r="E455" s="2">
        <v>7.0</v>
      </c>
      <c r="F455" s="2">
        <v>0.0</v>
      </c>
      <c r="H455" s="2">
        <v>0.0</v>
      </c>
      <c r="J455" s="3" t="s">
        <v>1559</v>
      </c>
      <c r="K455" s="2" t="s">
        <v>1560</v>
      </c>
      <c r="U455" s="8" t="str">
        <f t="shared" si="1"/>
        <v>CALL InsertOrUpdateProducto('632','Vino Uxmal Malbec 6 unidades','Vino Uxmal Malbec 6 unidades','49','7','0','','0','','https://img.quodom.com.ar/producto/632.png','Z632','','','','');</v>
      </c>
    </row>
    <row r="456">
      <c r="A456" s="2">
        <v>633.0</v>
      </c>
      <c r="B456" s="2" t="s">
        <v>1561</v>
      </c>
      <c r="C456" s="2" t="s">
        <v>1561</v>
      </c>
      <c r="D456" s="2">
        <v>49.0</v>
      </c>
      <c r="E456" s="2">
        <v>7.0</v>
      </c>
      <c r="F456" s="2">
        <v>0.0</v>
      </c>
      <c r="H456" s="2">
        <v>0.0</v>
      </c>
      <c r="J456" s="3" t="s">
        <v>1562</v>
      </c>
      <c r="K456" s="2" t="s">
        <v>1563</v>
      </c>
      <c r="U456" s="8" t="str">
        <f t="shared" si="1"/>
        <v>CALL InsertOrUpdateProducto('633','Vino Esmeralda Malbec 6 unidades','Vino Esmeralda Malbec 6 unidades','49','7','0','','0','','https://img.quodom.com.ar/producto/633.png','Z633','','','','');</v>
      </c>
    </row>
    <row r="457">
      <c r="A457" s="2">
        <v>634.0</v>
      </c>
      <c r="B457" s="2" t="s">
        <v>1564</v>
      </c>
      <c r="C457" s="2" t="s">
        <v>1564</v>
      </c>
      <c r="D457" s="2">
        <v>49.0</v>
      </c>
      <c r="E457" s="2">
        <v>7.0</v>
      </c>
      <c r="F457" s="2">
        <v>0.0</v>
      </c>
      <c r="H457" s="2">
        <v>0.0</v>
      </c>
      <c r="J457" s="3" t="s">
        <v>1565</v>
      </c>
      <c r="K457" s="2" t="s">
        <v>1566</v>
      </c>
      <c r="U457" s="8" t="str">
        <f t="shared" si="1"/>
        <v>CALL InsertOrUpdateProducto('634','Vino Fond de Cave RESERVA Inc Malbec 6 unidades','Vino Fond de Cave RESERVA Inc Malbec 6 unidades','49','7','0','','0','','https://img.quodom.com.ar/producto/634.png','Z634','','','','');</v>
      </c>
    </row>
    <row r="458">
      <c r="A458" s="2">
        <v>635.0</v>
      </c>
      <c r="B458" s="2" t="s">
        <v>1567</v>
      </c>
      <c r="C458" s="2" t="s">
        <v>1567</v>
      </c>
      <c r="D458" s="2">
        <v>49.0</v>
      </c>
      <c r="E458" s="2">
        <v>7.0</v>
      </c>
      <c r="F458" s="2">
        <v>0.0</v>
      </c>
      <c r="H458" s="2">
        <v>0.0</v>
      </c>
      <c r="J458" s="3" t="s">
        <v>1568</v>
      </c>
      <c r="K458" s="2" t="s">
        <v>1569</v>
      </c>
      <c r="L458" s="2" t="s">
        <v>1521</v>
      </c>
      <c r="U458" s="8" t="str">
        <f t="shared" si="1"/>
        <v>CALL InsertOrUpdateProducto('635','Vino Fond de Cave','Vino Fond de Cave','49','7','0','','0','','https://img.quodom.com.ar/producto/635.png','Z635','VARIEDAD','','','');</v>
      </c>
    </row>
    <row r="459">
      <c r="A459" s="2">
        <v>636.0</v>
      </c>
      <c r="B459" s="2" t="s">
        <v>1570</v>
      </c>
      <c r="C459" s="2" t="s">
        <v>1570</v>
      </c>
      <c r="D459" s="2">
        <v>49.0</v>
      </c>
      <c r="E459" s="2">
        <v>7.0</v>
      </c>
      <c r="F459" s="2">
        <v>0.0</v>
      </c>
      <c r="H459" s="2">
        <v>0.0</v>
      </c>
      <c r="J459" s="3" t="s">
        <v>1571</v>
      </c>
      <c r="K459" s="2" t="s">
        <v>1572</v>
      </c>
      <c r="L459" s="2" t="s">
        <v>1521</v>
      </c>
      <c r="U459" s="8" t="str">
        <f t="shared" si="1"/>
        <v>CALL InsertOrUpdateProducto('636','Vino Alaris','Vino Alaris','49','7','0','','0','','https://img.quodom.com.ar/producto/636.png','Z636','VARIEDAD','','','');</v>
      </c>
    </row>
    <row r="460">
      <c r="A460" s="2">
        <v>637.0</v>
      </c>
      <c r="B460" s="2" t="s">
        <v>1573</v>
      </c>
      <c r="C460" s="2" t="s">
        <v>1573</v>
      </c>
      <c r="D460" s="2">
        <v>49.0</v>
      </c>
      <c r="E460" s="2">
        <v>7.0</v>
      </c>
      <c r="F460" s="2">
        <v>0.0</v>
      </c>
      <c r="H460" s="2">
        <v>0.0</v>
      </c>
      <c r="J460" s="3" t="s">
        <v>1574</v>
      </c>
      <c r="K460" s="2" t="s">
        <v>1575</v>
      </c>
      <c r="L460" s="2" t="s">
        <v>1521</v>
      </c>
      <c r="U460" s="8" t="str">
        <f t="shared" si="1"/>
        <v>CALL InsertOrUpdateProducto('637','Vino Familia Gascón','Vino Familia Gascón','49','7','0','','0','','https://img.quodom.com.ar/producto/637.png','Z637','VARIEDAD','','','');</v>
      </c>
    </row>
    <row r="461">
      <c r="A461" s="2">
        <v>638.0</v>
      </c>
      <c r="B461" s="2" t="s">
        <v>1576</v>
      </c>
      <c r="C461" s="2" t="s">
        <v>1576</v>
      </c>
      <c r="D461" s="2">
        <v>49.0</v>
      </c>
      <c r="E461" s="2">
        <v>7.0</v>
      </c>
      <c r="F461" s="2">
        <v>0.0</v>
      </c>
      <c r="H461" s="2">
        <v>0.0</v>
      </c>
      <c r="J461" s="3" t="s">
        <v>1577</v>
      </c>
      <c r="K461" s="2" t="s">
        <v>1578</v>
      </c>
      <c r="U461" s="8" t="str">
        <f t="shared" si="1"/>
        <v>CALL InsertOrUpdateProducto('638','Vino Alma Mora Select Reserve Malbec 6 unidades','Vino Alma Mora Select Reserve Malbec 6 unidades','49','7','0','','0','','https://img.quodom.com.ar/producto/638.png','Z638','','','','');</v>
      </c>
    </row>
    <row r="462">
      <c r="A462" s="2">
        <v>639.0</v>
      </c>
      <c r="B462" s="2" t="s">
        <v>1579</v>
      </c>
      <c r="C462" s="2" t="s">
        <v>1579</v>
      </c>
      <c r="D462" s="2">
        <v>49.0</v>
      </c>
      <c r="E462" s="2">
        <v>7.0</v>
      </c>
      <c r="F462" s="2">
        <v>0.0</v>
      </c>
      <c r="H462" s="2">
        <v>0.0</v>
      </c>
      <c r="J462" s="3" t="s">
        <v>1580</v>
      </c>
      <c r="K462" s="2" t="s">
        <v>1581</v>
      </c>
      <c r="L462" s="2" t="s">
        <v>1521</v>
      </c>
      <c r="U462" s="8" t="str">
        <f t="shared" si="1"/>
        <v>CALL InsertOrUpdateProducto('639','Vino Alma Mora','Vino Alma Mora','49','7','0','','0','','https://img.quodom.com.ar/producto/639.png','Z639','VARIEDAD','','','');</v>
      </c>
    </row>
    <row r="463">
      <c r="A463" s="2">
        <v>640.0</v>
      </c>
      <c r="B463" s="2" t="s">
        <v>1582</v>
      </c>
      <c r="C463" s="2" t="s">
        <v>1582</v>
      </c>
      <c r="D463" s="2">
        <v>49.0</v>
      </c>
      <c r="E463" s="2">
        <v>7.0</v>
      </c>
      <c r="F463" s="2">
        <v>0.0</v>
      </c>
      <c r="H463" s="2">
        <v>0.0</v>
      </c>
      <c r="J463" s="3" t="s">
        <v>1583</v>
      </c>
      <c r="K463" s="2" t="s">
        <v>1584</v>
      </c>
      <c r="L463" s="2" t="s">
        <v>1521</v>
      </c>
      <c r="U463" s="8" t="str">
        <f t="shared" si="1"/>
        <v>CALL InsertOrUpdateProducto('640','Vino Dadá','Vino Dadá','49','7','0','','0','','https://img.quodom.com.ar/producto/640.png','Z640','VARIEDAD','','','');</v>
      </c>
    </row>
    <row r="464">
      <c r="A464" s="2">
        <v>641.0</v>
      </c>
      <c r="B464" s="2" t="s">
        <v>1585</v>
      </c>
      <c r="C464" s="2" t="s">
        <v>1585</v>
      </c>
      <c r="D464" s="2">
        <v>49.0</v>
      </c>
      <c r="E464" s="2">
        <v>7.0</v>
      </c>
      <c r="F464" s="2">
        <v>0.0</v>
      </c>
      <c r="H464" s="2">
        <v>0.0</v>
      </c>
      <c r="J464" s="3" t="s">
        <v>1586</v>
      </c>
      <c r="K464" s="2" t="s">
        <v>1587</v>
      </c>
      <c r="L464" s="2" t="s">
        <v>1521</v>
      </c>
      <c r="U464" s="8" t="str">
        <f t="shared" si="1"/>
        <v>CALL InsertOrUpdateProducto('641','Vino Finca las Moras','Vino Finca las Moras','49','7','0','','0','','https://img.quodom.com.ar/producto/641.png','Z641','VARIEDAD','','','');</v>
      </c>
    </row>
    <row r="465">
      <c r="A465" s="2">
        <v>642.0</v>
      </c>
      <c r="B465" s="2" t="s">
        <v>1588</v>
      </c>
      <c r="C465" s="2" t="s">
        <v>1588</v>
      </c>
      <c r="D465" s="2">
        <v>49.0</v>
      </c>
      <c r="E465" s="2">
        <v>7.0</v>
      </c>
      <c r="F465" s="2">
        <v>0.0</v>
      </c>
      <c r="H465" s="2">
        <v>0.0</v>
      </c>
      <c r="J465" s="3" t="s">
        <v>1589</v>
      </c>
      <c r="K465" s="2" t="s">
        <v>1590</v>
      </c>
      <c r="U465" s="8" t="str">
        <f t="shared" si="1"/>
        <v>CALL InsertOrUpdateProducto('642','Vino Tinto Dulce 6 unidades','Vino Tinto Dulce 6 unidades','49','7','0','','0','','https://img.quodom.com.ar/producto/642.png','Z642','','','','');</v>
      </c>
    </row>
    <row r="466">
      <c r="A466" s="2">
        <v>643.0</v>
      </c>
      <c r="B466" s="2" t="s">
        <v>1591</v>
      </c>
      <c r="C466" s="2" t="s">
        <v>1591</v>
      </c>
      <c r="D466" s="2">
        <v>49.0</v>
      </c>
      <c r="E466" s="2">
        <v>7.0</v>
      </c>
      <c r="F466" s="2">
        <v>0.0</v>
      </c>
      <c r="H466" s="2">
        <v>0.0</v>
      </c>
      <c r="J466" s="3" t="s">
        <v>1592</v>
      </c>
      <c r="K466" s="2" t="s">
        <v>1593</v>
      </c>
      <c r="U466" s="8" t="str">
        <f t="shared" si="1"/>
        <v>CALL InsertOrUpdateProducto('643','Vino Cosecha Tardia Blanco 6 unidades','Vino Cosecha Tardia Blanco 6 unidades','49','7','0','','0','','https://img.quodom.com.ar/producto/643.png','Z643','','','','');</v>
      </c>
    </row>
    <row r="467">
      <c r="A467" s="2">
        <v>644.0</v>
      </c>
      <c r="B467" s="2" t="s">
        <v>1594</v>
      </c>
      <c r="C467" s="2" t="s">
        <v>1594</v>
      </c>
      <c r="D467" s="2">
        <v>49.0</v>
      </c>
      <c r="E467" s="2">
        <v>7.0</v>
      </c>
      <c r="F467" s="2">
        <v>0.0</v>
      </c>
      <c r="H467" s="2">
        <v>0.0</v>
      </c>
      <c r="J467" s="3" t="s">
        <v>1595</v>
      </c>
      <c r="K467" s="2" t="s">
        <v>1596</v>
      </c>
      <c r="U467" s="8" t="str">
        <f t="shared" si="1"/>
        <v>CALL InsertOrUpdateProducto('644','Vino Nieto Senetiner Malbec 6 unidades','Vino Nieto Senetiner Malbec 6 unidades','49','7','0','','0','','https://img.quodom.com.ar/producto/644.png','Z644','','','','');</v>
      </c>
    </row>
    <row r="468">
      <c r="A468" s="2">
        <v>645.0</v>
      </c>
      <c r="B468" s="2" t="s">
        <v>1597</v>
      </c>
      <c r="C468" s="2" t="s">
        <v>1597</v>
      </c>
      <c r="D468" s="2">
        <v>49.0</v>
      </c>
      <c r="E468" s="2">
        <v>7.0</v>
      </c>
      <c r="F468" s="2">
        <v>0.0</v>
      </c>
      <c r="H468" s="2">
        <v>0.0</v>
      </c>
      <c r="J468" s="3" t="s">
        <v>1598</v>
      </c>
      <c r="K468" s="2" t="s">
        <v>1599</v>
      </c>
      <c r="U468" s="8" t="str">
        <f t="shared" si="1"/>
        <v>CALL InsertOrUpdateProducto('645','Vino Emilia Malbec 6 unidades','Vino Emilia Malbec 6 unidades','49','7','0','','0','','https://img.quodom.com.ar/producto/645.png','Z645','','','','');</v>
      </c>
    </row>
    <row r="469">
      <c r="A469" s="2">
        <v>646.0</v>
      </c>
      <c r="B469" s="2" t="s">
        <v>1600</v>
      </c>
      <c r="C469" s="2" t="s">
        <v>1600</v>
      </c>
      <c r="D469" s="2">
        <v>49.0</v>
      </c>
      <c r="E469" s="2">
        <v>7.0</v>
      </c>
      <c r="F469" s="2">
        <v>0.0</v>
      </c>
      <c r="H469" s="2">
        <v>0.0</v>
      </c>
      <c r="J469" s="3" t="s">
        <v>1601</v>
      </c>
      <c r="K469" s="2" t="s">
        <v>1602</v>
      </c>
      <c r="U469" s="8" t="str">
        <f t="shared" si="1"/>
        <v>CALL InsertOrUpdateProducto('646','Vino Benjamin Nieto Chardonnay 6 unidades','Vino Benjamin Nieto Chardonnay 6 unidades','49','7','0','','0','','https://img.quodom.com.ar/producto/646.png','Z646','','','','');</v>
      </c>
    </row>
    <row r="470">
      <c r="A470" s="2">
        <v>647.0</v>
      </c>
      <c r="B470" s="2" t="s">
        <v>1603</v>
      </c>
      <c r="C470" s="2" t="s">
        <v>1603</v>
      </c>
      <c r="D470" s="2">
        <v>49.0</v>
      </c>
      <c r="E470" s="2">
        <v>7.0</v>
      </c>
      <c r="F470" s="2">
        <v>0.0</v>
      </c>
      <c r="H470" s="2">
        <v>0.0</v>
      </c>
      <c r="J470" s="3" t="s">
        <v>1604</v>
      </c>
      <c r="K470" s="2" t="s">
        <v>1605</v>
      </c>
      <c r="L470" s="2" t="s">
        <v>1521</v>
      </c>
      <c r="U470" s="8" t="str">
        <f t="shared" si="1"/>
        <v>CALL InsertOrUpdateProducto('647','Vino Los Arboles','Vino Los Arboles','49','7','0','','0','','https://img.quodom.com.ar/producto/647.png','Z647','VARIEDAD','','','');</v>
      </c>
    </row>
    <row r="471">
      <c r="A471" s="2">
        <v>648.0</v>
      </c>
      <c r="B471" s="2" t="s">
        <v>1606</v>
      </c>
      <c r="C471" s="2" t="s">
        <v>1606</v>
      </c>
      <c r="D471" s="2">
        <v>49.0</v>
      </c>
      <c r="E471" s="2">
        <v>7.0</v>
      </c>
      <c r="F471" s="2">
        <v>0.0</v>
      </c>
      <c r="H471" s="2">
        <v>0.0</v>
      </c>
      <c r="J471" s="3" t="s">
        <v>1607</v>
      </c>
      <c r="K471" s="2" t="s">
        <v>1608</v>
      </c>
      <c r="L471" s="2" t="s">
        <v>1521</v>
      </c>
      <c r="U471" s="8" t="str">
        <f t="shared" si="1"/>
        <v>CALL InsertOrUpdateProducto('648','Vino Santa Julia','Vino Santa Julia','49','7','0','','0','','https://img.quodom.com.ar/producto/648.png','Z648','VARIEDAD','','','');</v>
      </c>
    </row>
    <row r="472">
      <c r="A472" s="2">
        <v>649.0</v>
      </c>
      <c r="B472" s="2" t="s">
        <v>1609</v>
      </c>
      <c r="C472" s="2" t="s">
        <v>1609</v>
      </c>
      <c r="D472" s="2">
        <v>49.0</v>
      </c>
      <c r="E472" s="2">
        <v>7.0</v>
      </c>
      <c r="F472" s="2">
        <v>0.0</v>
      </c>
      <c r="H472" s="2">
        <v>0.0</v>
      </c>
      <c r="J472" s="3" t="s">
        <v>1610</v>
      </c>
      <c r="K472" s="2" t="s">
        <v>1611</v>
      </c>
      <c r="L472" s="2" t="s">
        <v>1521</v>
      </c>
      <c r="U472" s="8" t="str">
        <f t="shared" si="1"/>
        <v>CALL InsertOrUpdateProducto('649','Vino Carcassone','Vino Carcassone','49','7','0','','0','','https://img.quodom.com.ar/producto/649.png','Z649','VARIEDAD','','','');</v>
      </c>
    </row>
    <row r="473">
      <c r="A473" s="2">
        <v>650.0</v>
      </c>
      <c r="B473" s="2" t="s">
        <v>1612</v>
      </c>
      <c r="C473" s="2" t="s">
        <v>1612</v>
      </c>
      <c r="D473" s="2">
        <v>49.0</v>
      </c>
      <c r="E473" s="2">
        <v>7.0</v>
      </c>
      <c r="F473" s="2">
        <v>0.0</v>
      </c>
      <c r="H473" s="2">
        <v>0.0</v>
      </c>
      <c r="J473" s="3" t="s">
        <v>1613</v>
      </c>
      <c r="K473" s="2" t="s">
        <v>1614</v>
      </c>
      <c r="L473" s="2" t="s">
        <v>1521</v>
      </c>
      <c r="U473" s="8" t="str">
        <f t="shared" si="1"/>
        <v>CALL InsertOrUpdateProducto('650','Vino Chateau Vieux Tinto 750 ml','Vino Chateau Vieux Tinto 750 ml','49','7','0','','0','','https://img.quodom.com.ar/producto/650.png','Z650','VARIEDAD','','','');</v>
      </c>
    </row>
    <row r="474">
      <c r="A474" s="2">
        <v>651.0</v>
      </c>
      <c r="B474" s="2" t="s">
        <v>1615</v>
      </c>
      <c r="C474" s="2" t="s">
        <v>1615</v>
      </c>
      <c r="D474" s="2">
        <v>49.0</v>
      </c>
      <c r="E474" s="2">
        <v>7.0</v>
      </c>
      <c r="F474" s="2">
        <v>0.0</v>
      </c>
      <c r="H474" s="2">
        <v>0.0</v>
      </c>
      <c r="J474" s="3" t="s">
        <v>1616</v>
      </c>
      <c r="K474" s="2" t="s">
        <v>1617</v>
      </c>
      <c r="L474" s="2" t="s">
        <v>1521</v>
      </c>
      <c r="U474" s="8" t="str">
        <f t="shared" si="1"/>
        <v>CALL InsertOrUpdateProducto('651','Vino Vasco Viejo','Vino Vasco Viejo','49','7','0','','0','','https://img.quodom.com.ar/producto/651.png','Z651','VARIEDAD','','','');</v>
      </c>
    </row>
    <row r="475">
      <c r="A475" s="2">
        <v>652.0</v>
      </c>
      <c r="B475" s="2" t="s">
        <v>1618</v>
      </c>
      <c r="C475" s="2" t="s">
        <v>1618</v>
      </c>
      <c r="D475" s="2">
        <v>49.0</v>
      </c>
      <c r="E475" s="2">
        <v>7.0</v>
      </c>
      <c r="F475" s="2">
        <v>0.0</v>
      </c>
      <c r="H475" s="2">
        <v>0.0</v>
      </c>
      <c r="J475" s="3" t="s">
        <v>1619</v>
      </c>
      <c r="K475" s="2" t="s">
        <v>1620</v>
      </c>
      <c r="L475" s="2" t="s">
        <v>1521</v>
      </c>
      <c r="U475" s="8" t="str">
        <f t="shared" si="1"/>
        <v>CALL InsertOrUpdateProducto('652','Vino Lopez','Vino Lopez','49','7','0','','0','','https://img.quodom.com.ar/producto/652.png','Z652','VARIEDAD','','','');</v>
      </c>
    </row>
    <row r="476">
      <c r="A476" s="2">
        <v>653.0</v>
      </c>
      <c r="B476" s="2" t="s">
        <v>1621</v>
      </c>
      <c r="C476" s="2" t="s">
        <v>1621</v>
      </c>
      <c r="D476" s="2">
        <v>50.0</v>
      </c>
      <c r="E476" s="2">
        <v>7.0</v>
      </c>
      <c r="F476" s="2">
        <v>0.0</v>
      </c>
      <c r="H476" s="2">
        <v>0.0</v>
      </c>
      <c r="J476" s="3" t="s">
        <v>1622</v>
      </c>
      <c r="K476" s="2" t="s">
        <v>1623</v>
      </c>
      <c r="L476" s="2" t="s">
        <v>1331</v>
      </c>
      <c r="U476" s="8" t="str">
        <f t="shared" si="1"/>
        <v>CALL InsertOrUpdateProducto('653','Energizante Red Bull','Energizante Red Bull','50','7','0','','0','','https://img.quodom.com.ar/producto/653.png','Z653','FORMATO','','','');</v>
      </c>
    </row>
    <row r="477">
      <c r="A477" s="2">
        <v>654.0</v>
      </c>
      <c r="B477" s="2" t="s">
        <v>1624</v>
      </c>
      <c r="C477" s="2" t="s">
        <v>1624</v>
      </c>
      <c r="D477" s="2">
        <v>50.0</v>
      </c>
      <c r="E477" s="2">
        <v>7.0</v>
      </c>
      <c r="F477" s="2">
        <v>0.0</v>
      </c>
      <c r="H477" s="2">
        <v>0.0</v>
      </c>
      <c r="J477" s="3" t="s">
        <v>1625</v>
      </c>
      <c r="K477" s="2" t="s">
        <v>1626</v>
      </c>
      <c r="L477" s="2" t="s">
        <v>1331</v>
      </c>
      <c r="U477" s="8" t="str">
        <f t="shared" si="1"/>
        <v>CALL InsertOrUpdateProducto('654','Energizante Speed','Energizante Speed','50','7','0','','0','','https://img.quodom.com.ar/producto/654.png','Z654','FORMATO','','','');</v>
      </c>
    </row>
    <row r="478">
      <c r="A478" s="2">
        <v>655.0</v>
      </c>
      <c r="B478" s="2" t="s">
        <v>1627</v>
      </c>
      <c r="C478" s="2" t="s">
        <v>1627</v>
      </c>
      <c r="D478" s="2">
        <v>51.0</v>
      </c>
      <c r="E478" s="2">
        <v>7.0</v>
      </c>
      <c r="F478" s="2">
        <v>0.0</v>
      </c>
      <c r="H478" s="2">
        <v>0.0</v>
      </c>
      <c r="J478" s="3" t="s">
        <v>1628</v>
      </c>
      <c r="K478" s="2" t="s">
        <v>1629</v>
      </c>
      <c r="U478" s="8" t="str">
        <f t="shared" si="1"/>
        <v>CALL InsertOrUpdateProducto('655','Amarula 750 ml','Amarula 750 ml','51','7','0','','0','','https://img.quodom.com.ar/producto/655.png','Z655','','','','');</v>
      </c>
    </row>
    <row r="479">
      <c r="A479" s="2">
        <v>656.0</v>
      </c>
      <c r="B479" s="2" t="s">
        <v>1630</v>
      </c>
      <c r="C479" s="2" t="s">
        <v>1630</v>
      </c>
      <c r="D479" s="2">
        <v>51.0</v>
      </c>
      <c r="E479" s="2">
        <v>7.0</v>
      </c>
      <c r="F479" s="2">
        <v>0.0</v>
      </c>
      <c r="H479" s="2">
        <v>0.0</v>
      </c>
      <c r="J479" s="3" t="s">
        <v>1631</v>
      </c>
      <c r="K479" s="2" t="s">
        <v>1632</v>
      </c>
      <c r="U479" s="8" t="str">
        <f t="shared" si="1"/>
        <v>CALL InsertOrUpdateProducto('656','Anis 8 hermanos Azul 1 litro','Anis 8 hermanos Azul 1 litro','51','7','0','','0','','https://img.quodom.com.ar/producto/656.png','Z656','','','','');</v>
      </c>
    </row>
    <row r="480">
      <c r="A480" s="2">
        <v>657.0</v>
      </c>
      <c r="B480" s="2" t="s">
        <v>1633</v>
      </c>
      <c r="C480" s="2" t="s">
        <v>1633</v>
      </c>
      <c r="D480" s="2">
        <v>51.0</v>
      </c>
      <c r="E480" s="2">
        <v>7.0</v>
      </c>
      <c r="F480" s="2">
        <v>0.0</v>
      </c>
      <c r="H480" s="2">
        <v>0.0</v>
      </c>
      <c r="J480" s="3" t="s">
        <v>1634</v>
      </c>
      <c r="K480" s="2" t="s">
        <v>1635</v>
      </c>
      <c r="U480" s="8" t="str">
        <f t="shared" si="1"/>
        <v>CALL InsertOrUpdateProducto('657','Baileys 750 ml','Baileys 750 ml','51','7','0','','0','','https://img.quodom.com.ar/producto/657.png','Z657','','','','');</v>
      </c>
    </row>
    <row r="481">
      <c r="A481" s="2">
        <v>658.0</v>
      </c>
      <c r="B481" s="2" t="s">
        <v>1636</v>
      </c>
      <c r="C481" s="2" t="s">
        <v>1636</v>
      </c>
      <c r="D481" s="2">
        <v>51.0</v>
      </c>
      <c r="E481" s="2">
        <v>7.0</v>
      </c>
      <c r="F481" s="2">
        <v>0.0</v>
      </c>
      <c r="H481" s="2">
        <v>0.0</v>
      </c>
      <c r="J481" s="3" t="s">
        <v>1637</v>
      </c>
      <c r="K481" s="2" t="s">
        <v>1638</v>
      </c>
      <c r="U481" s="8" t="str">
        <f t="shared" si="1"/>
        <v>CALL InsertOrUpdateProducto('658','Borghetti 750 ml','Borghetti 750 ml','51','7','0','','0','','https://img.quodom.com.ar/producto/658.png','Z658','','','','');</v>
      </c>
    </row>
    <row r="482">
      <c r="A482" s="2">
        <v>659.0</v>
      </c>
      <c r="B482" s="2" t="s">
        <v>1639</v>
      </c>
      <c r="C482" s="2" t="s">
        <v>1639</v>
      </c>
      <c r="D482" s="2">
        <v>51.0</v>
      </c>
      <c r="E482" s="2">
        <v>7.0</v>
      </c>
      <c r="F482" s="2">
        <v>0.0</v>
      </c>
      <c r="H482" s="2">
        <v>0.0</v>
      </c>
      <c r="J482" s="3" t="s">
        <v>1640</v>
      </c>
      <c r="K482" s="2" t="s">
        <v>1641</v>
      </c>
      <c r="U482" s="8" t="str">
        <f t="shared" si="1"/>
        <v>CALL InsertOrUpdateProducto('659','Licor Cafe Al Cognac Tres Plumas 750 ml','Licor Cafe Al Cognac Tres Plumas 750 ml','51','7','0','','0','','https://img.quodom.com.ar/producto/659.png','Z659','','','','');</v>
      </c>
    </row>
    <row r="483">
      <c r="A483" s="2">
        <v>660.0</v>
      </c>
      <c r="B483" s="2" t="s">
        <v>1642</v>
      </c>
      <c r="C483" s="2" t="s">
        <v>1642</v>
      </c>
      <c r="D483" s="2">
        <v>51.0</v>
      </c>
      <c r="E483" s="2">
        <v>7.0</v>
      </c>
      <c r="F483" s="2">
        <v>0.0</v>
      </c>
      <c r="H483" s="2">
        <v>0.0</v>
      </c>
      <c r="J483" s="3" t="s">
        <v>1643</v>
      </c>
      <c r="K483" s="2" t="s">
        <v>1644</v>
      </c>
      <c r="U483" s="8" t="str">
        <f t="shared" si="1"/>
        <v>CALL InsertOrUpdateProducto('660','Caña 1 de agosto 1 litro','Caña 1 de agosto 1 litro','51','7','0','','0','','https://img.quodom.com.ar/producto/660.png','Z660','','','','');</v>
      </c>
    </row>
    <row r="484">
      <c r="A484" s="2">
        <v>661.0</v>
      </c>
      <c r="B484" s="2" t="s">
        <v>1645</v>
      </c>
      <c r="C484" s="2" t="s">
        <v>1645</v>
      </c>
      <c r="D484" s="2">
        <v>51.0</v>
      </c>
      <c r="E484" s="2">
        <v>7.0</v>
      </c>
      <c r="F484" s="2">
        <v>0.0</v>
      </c>
      <c r="H484" s="2">
        <v>0.0</v>
      </c>
      <c r="J484" s="3" t="s">
        <v>1646</v>
      </c>
      <c r="K484" s="2" t="s">
        <v>1647</v>
      </c>
      <c r="L484" s="2" t="s">
        <v>1648</v>
      </c>
      <c r="U484" s="8" t="str">
        <f t="shared" si="1"/>
        <v>CALL InsertOrUpdateProducto('661','Cusenier 700 ml','Cusenier 700 ml','51','7','0','','0','','https://img.quodom.com.ar/producto/661.png','Z661','SABOR','','','');</v>
      </c>
    </row>
    <row r="485">
      <c r="A485" s="2">
        <v>662.0</v>
      </c>
      <c r="B485" s="2" t="s">
        <v>1649</v>
      </c>
      <c r="C485" s="2" t="s">
        <v>1649</v>
      </c>
      <c r="D485" s="2">
        <v>51.0</v>
      </c>
      <c r="E485" s="2">
        <v>7.0</v>
      </c>
      <c r="F485" s="2">
        <v>0.0</v>
      </c>
      <c r="H485" s="2">
        <v>0.0</v>
      </c>
      <c r="J485" s="3" t="s">
        <v>1650</v>
      </c>
      <c r="K485" s="2" t="s">
        <v>1651</v>
      </c>
      <c r="L485" s="2" t="s">
        <v>1331</v>
      </c>
      <c r="U485" s="8" t="str">
        <f t="shared" si="1"/>
        <v>CALL InsertOrUpdateProducto('662','Jagermeister','Jagermeister','51','7','0','','0','','https://img.quodom.com.ar/producto/662.png','Z662','FORMATO','','','');</v>
      </c>
    </row>
    <row r="486">
      <c r="A486" s="2">
        <v>663.0</v>
      </c>
      <c r="B486" s="2" t="s">
        <v>1652</v>
      </c>
      <c r="C486" s="2" t="s">
        <v>1652</v>
      </c>
      <c r="D486" s="2">
        <v>51.0</v>
      </c>
      <c r="E486" s="2">
        <v>7.0</v>
      </c>
      <c r="F486" s="2">
        <v>0.0</v>
      </c>
      <c r="H486" s="2">
        <v>0.0</v>
      </c>
      <c r="J486" s="3" t="s">
        <v>1653</v>
      </c>
      <c r="K486" s="2" t="s">
        <v>1654</v>
      </c>
      <c r="U486" s="8" t="str">
        <f t="shared" si="1"/>
        <v>CALL InsertOrUpdateProducto('663','Legui 750 ml','Legui 750 ml','51','7','0','','0','','https://img.quodom.com.ar/producto/663.png','Z663','','','','');</v>
      </c>
    </row>
    <row r="487">
      <c r="A487" s="2">
        <v>664.0</v>
      </c>
      <c r="B487" s="2" t="s">
        <v>1655</v>
      </c>
      <c r="C487" s="2" t="s">
        <v>1655</v>
      </c>
      <c r="D487" s="2">
        <v>51.0</v>
      </c>
      <c r="E487" s="2">
        <v>7.0</v>
      </c>
      <c r="F487" s="2">
        <v>0.0</v>
      </c>
      <c r="H487" s="2">
        <v>0.0</v>
      </c>
      <c r="J487" s="3" t="s">
        <v>1656</v>
      </c>
      <c r="K487" s="2" t="s">
        <v>1657</v>
      </c>
      <c r="U487" s="8" t="str">
        <f t="shared" si="1"/>
        <v>CALL InsertOrUpdateProducto('664','Sheridan 750 ml','Sheridan 750 ml','51','7','0','','0','','https://img.quodom.com.ar/producto/664.png','Z664','','','','');</v>
      </c>
    </row>
    <row r="488">
      <c r="A488" s="2">
        <v>665.0</v>
      </c>
      <c r="B488" s="2" t="s">
        <v>1658</v>
      </c>
      <c r="C488" s="2" t="s">
        <v>1658</v>
      </c>
      <c r="D488" s="2">
        <v>51.0</v>
      </c>
      <c r="E488" s="2">
        <v>7.0</v>
      </c>
      <c r="F488" s="2">
        <v>0.0</v>
      </c>
      <c r="H488" s="2">
        <v>0.0</v>
      </c>
      <c r="J488" s="3" t="s">
        <v>1659</v>
      </c>
      <c r="K488" s="2" t="s">
        <v>1660</v>
      </c>
      <c r="L488" s="2" t="s">
        <v>1648</v>
      </c>
      <c r="U488" s="8" t="str">
        <f t="shared" si="1"/>
        <v>CALL InsertOrUpdateProducto('665','Tía María 690 ml','Tía María 690 ml','51','7','0','','0','','https://img.quodom.com.ar/producto/665.png','Z665','SABOR','','','');</v>
      </c>
    </row>
    <row r="489">
      <c r="A489" s="2">
        <v>666.0</v>
      </c>
      <c r="B489" s="2" t="s">
        <v>1661</v>
      </c>
      <c r="C489" s="2" t="s">
        <v>1662</v>
      </c>
      <c r="D489" s="2">
        <v>52.0</v>
      </c>
      <c r="E489" s="2">
        <v>7.0</v>
      </c>
      <c r="F489" s="2">
        <v>0.0</v>
      </c>
      <c r="H489" s="2">
        <v>0.0</v>
      </c>
      <c r="J489" s="3" t="s">
        <v>1663</v>
      </c>
      <c r="K489" s="2" t="s">
        <v>1664</v>
      </c>
      <c r="U489" s="8" t="str">
        <f t="shared" si="1"/>
        <v>CALL InsertOrUpdateProducto('666','Whisky Ballantines Finest 1 litro','Ballantines Finest 1 litro','52','7','0','','0','','https://img.quodom.com.ar/producto/666.png','Z666','','','','');</v>
      </c>
    </row>
    <row r="490">
      <c r="A490" s="2">
        <v>667.0</v>
      </c>
      <c r="B490" s="2" t="s">
        <v>1665</v>
      </c>
      <c r="C490" s="2" t="s">
        <v>1666</v>
      </c>
      <c r="D490" s="2">
        <v>52.0</v>
      </c>
      <c r="E490" s="2">
        <v>7.0</v>
      </c>
      <c r="F490" s="2">
        <v>0.0</v>
      </c>
      <c r="H490" s="2">
        <v>0.0</v>
      </c>
      <c r="J490" s="3" t="s">
        <v>1667</v>
      </c>
      <c r="K490" s="2" t="s">
        <v>1668</v>
      </c>
      <c r="U490" s="8" t="str">
        <f t="shared" si="1"/>
        <v>CALL InsertOrUpdateProducto('667','Whisky Chivas Regal 12 años 1 litro','Chivas Regal 12 años 1 litro','52','7','0','','0','','https://img.quodom.com.ar/producto/667.png','Z667','','','','');</v>
      </c>
    </row>
    <row r="491">
      <c r="A491" s="2">
        <v>668.0</v>
      </c>
      <c r="B491" s="2" t="s">
        <v>1669</v>
      </c>
      <c r="C491" s="2" t="s">
        <v>1670</v>
      </c>
      <c r="D491" s="2">
        <v>52.0</v>
      </c>
      <c r="E491" s="2">
        <v>7.0</v>
      </c>
      <c r="F491" s="2">
        <v>0.0</v>
      </c>
      <c r="H491" s="2">
        <v>0.0</v>
      </c>
      <c r="J491" s="3" t="s">
        <v>1671</v>
      </c>
      <c r="K491" s="2" t="s">
        <v>1672</v>
      </c>
      <c r="U491" s="8" t="str">
        <f t="shared" si="1"/>
        <v>CALL InsertOrUpdateProducto('668','Whisky Chivas Regal 18 años 750 ml','Chivas Regal 18 años 750 ml','52','7','0','','0','','https://img.quodom.com.ar/producto/668.png','Z668','','','','');</v>
      </c>
    </row>
    <row r="492">
      <c r="A492" s="2">
        <v>669.0</v>
      </c>
      <c r="B492" s="2" t="s">
        <v>1673</v>
      </c>
      <c r="C492" s="2" t="s">
        <v>1674</v>
      </c>
      <c r="D492" s="2">
        <v>52.0</v>
      </c>
      <c r="E492" s="2">
        <v>7.0</v>
      </c>
      <c r="F492" s="2">
        <v>0.0</v>
      </c>
      <c r="H492" s="2">
        <v>0.0</v>
      </c>
      <c r="J492" s="3" t="s">
        <v>1675</v>
      </c>
      <c r="K492" s="2" t="s">
        <v>1676</v>
      </c>
      <c r="U492" s="8" t="str">
        <f t="shared" si="1"/>
        <v>CALL InsertOrUpdateProducto('669','Whisky Chivas Regal Extra 750 ml','Chivas Regal Extra 750 ml','52','7','0','','0','','https://img.quodom.com.ar/producto/669.png','Z669','','','','');</v>
      </c>
    </row>
    <row r="493">
      <c r="A493" s="2">
        <v>670.0</v>
      </c>
      <c r="B493" s="2" t="s">
        <v>1677</v>
      </c>
      <c r="C493" s="2" t="s">
        <v>1678</v>
      </c>
      <c r="D493" s="2">
        <v>52.0</v>
      </c>
      <c r="E493" s="2">
        <v>7.0</v>
      </c>
      <c r="F493" s="2">
        <v>0.0</v>
      </c>
      <c r="H493" s="2">
        <v>0.0</v>
      </c>
      <c r="J493" s="3" t="s">
        <v>1679</v>
      </c>
      <c r="K493" s="2" t="s">
        <v>1680</v>
      </c>
      <c r="U493" s="8" t="str">
        <f t="shared" si="1"/>
        <v>CALL InsertOrUpdateProducto('670','Whisky Cutty Sark 750 ml','Cutty Sark 750 ml','52','7','0','','0','','https://img.quodom.com.ar/producto/670.png','Z670','','','','');</v>
      </c>
    </row>
    <row r="494">
      <c r="A494" s="2">
        <v>671.0</v>
      </c>
      <c r="B494" s="2" t="s">
        <v>1681</v>
      </c>
      <c r="C494" s="2" t="s">
        <v>1682</v>
      </c>
      <c r="D494" s="2">
        <v>52.0</v>
      </c>
      <c r="E494" s="2">
        <v>7.0</v>
      </c>
      <c r="F494" s="2">
        <v>0.0</v>
      </c>
      <c r="H494" s="2">
        <v>0.0</v>
      </c>
      <c r="J494" s="3" t="s">
        <v>1683</v>
      </c>
      <c r="K494" s="2" t="s">
        <v>1684</v>
      </c>
      <c r="U494" s="8" t="str">
        <f t="shared" si="1"/>
        <v>CALL InsertOrUpdateProducto('671','Whisky Glenfiddich Malt 12 años 750 ml','Glenfiddich Malt 12 años 750 ml','52','7','0','','0','','https://img.quodom.com.ar/producto/671.png','Z671','','','','');</v>
      </c>
    </row>
    <row r="495">
      <c r="A495" s="2">
        <v>672.0</v>
      </c>
      <c r="B495" s="2" t="s">
        <v>1685</v>
      </c>
      <c r="C495" s="2" t="s">
        <v>1686</v>
      </c>
      <c r="D495" s="2">
        <v>52.0</v>
      </c>
      <c r="E495" s="2">
        <v>7.0</v>
      </c>
      <c r="F495" s="2">
        <v>0.0</v>
      </c>
      <c r="H495" s="2">
        <v>0.0</v>
      </c>
      <c r="J495" s="3" t="s">
        <v>1687</v>
      </c>
      <c r="K495" s="2" t="s">
        <v>1688</v>
      </c>
      <c r="U495" s="8" t="str">
        <f t="shared" si="1"/>
        <v>CALL InsertOrUpdateProducto('672','Whisky Grand Old Parr 12 años 750 ml','Grand Old Parr 12 años 750 ml','52','7','0','','0','','https://img.quodom.com.ar/producto/672.png','Z672','','','','');</v>
      </c>
    </row>
    <row r="496">
      <c r="A496" s="2">
        <v>673.0</v>
      </c>
      <c r="B496" s="2" t="s">
        <v>1689</v>
      </c>
      <c r="C496" s="2" t="s">
        <v>1690</v>
      </c>
      <c r="D496" s="2">
        <v>52.0</v>
      </c>
      <c r="E496" s="2">
        <v>7.0</v>
      </c>
      <c r="F496" s="2">
        <v>0.0</v>
      </c>
      <c r="H496" s="2">
        <v>0.0</v>
      </c>
      <c r="J496" s="3" t="s">
        <v>1691</v>
      </c>
      <c r="K496" s="2" t="s">
        <v>1692</v>
      </c>
      <c r="U496" s="8" t="str">
        <f t="shared" si="1"/>
        <v>CALL InsertOrUpdateProducto('673','Whisky J &amp; B 750 ml','J &amp; B 750 ml','52','7','0','','0','','https://img.quodom.com.ar/producto/673.png','Z673','','','','');</v>
      </c>
    </row>
    <row r="497">
      <c r="A497" s="2">
        <v>674.0</v>
      </c>
      <c r="B497" s="2" t="s">
        <v>1693</v>
      </c>
      <c r="C497" s="2" t="s">
        <v>1694</v>
      </c>
      <c r="D497" s="2">
        <v>52.0</v>
      </c>
      <c r="E497" s="2">
        <v>7.0</v>
      </c>
      <c r="F497" s="2">
        <v>0.0</v>
      </c>
      <c r="H497" s="2">
        <v>0.0</v>
      </c>
      <c r="J497" s="3" t="s">
        <v>1695</v>
      </c>
      <c r="K497" s="2" t="s">
        <v>1696</v>
      </c>
      <c r="U497" s="8" t="str">
        <f t="shared" si="1"/>
        <v>CALL InsertOrUpdateProducto('674','Whisky Jack Daniels 750 ml','Jack Daniels 750 ml','52','7','0','','0','','https://img.quodom.com.ar/producto/674.png','Z674','','','','');</v>
      </c>
    </row>
    <row r="498">
      <c r="A498" s="2">
        <v>675.0</v>
      </c>
      <c r="B498" s="2" t="s">
        <v>1697</v>
      </c>
      <c r="C498" s="2" t="s">
        <v>1698</v>
      </c>
      <c r="D498" s="2">
        <v>52.0</v>
      </c>
      <c r="E498" s="2">
        <v>7.0</v>
      </c>
      <c r="F498" s="2">
        <v>0.0</v>
      </c>
      <c r="H498" s="2">
        <v>0.0</v>
      </c>
      <c r="J498" s="3" t="s">
        <v>1699</v>
      </c>
      <c r="K498" s="2" t="s">
        <v>1700</v>
      </c>
      <c r="U498" s="8" t="str">
        <f t="shared" si="1"/>
        <v>CALL InsertOrUpdateProducto('675','Whisky Jack Daniels Honey 750 ml','Jack Daniels Honey 750 ml','52','7','0','','0','','https://img.quodom.com.ar/producto/675.png','Z675','','','','');</v>
      </c>
    </row>
    <row r="499">
      <c r="A499" s="2">
        <v>676.0</v>
      </c>
      <c r="B499" s="2" t="s">
        <v>1701</v>
      </c>
      <c r="C499" s="2" t="s">
        <v>1702</v>
      </c>
      <c r="D499" s="2">
        <v>52.0</v>
      </c>
      <c r="E499" s="2">
        <v>7.0</v>
      </c>
      <c r="F499" s="2">
        <v>0.0</v>
      </c>
      <c r="H499" s="2">
        <v>0.0</v>
      </c>
      <c r="J499" s="3" t="s">
        <v>1703</v>
      </c>
      <c r="K499" s="2" t="s">
        <v>1704</v>
      </c>
      <c r="U499" s="8" t="str">
        <f t="shared" si="1"/>
        <v>CALL InsertOrUpdateProducto('676','Whisky Jameson 1 litro','Jameson 1 litro','52','7','0','','0','','https://img.quodom.com.ar/producto/676.png','Z676','','','','');</v>
      </c>
    </row>
    <row r="500">
      <c r="A500" s="2">
        <v>677.0</v>
      </c>
      <c r="B500" s="2" t="s">
        <v>1705</v>
      </c>
      <c r="C500" s="2" t="s">
        <v>1706</v>
      </c>
      <c r="D500" s="2">
        <v>52.0</v>
      </c>
      <c r="E500" s="2">
        <v>7.0</v>
      </c>
      <c r="F500" s="2">
        <v>0.0</v>
      </c>
      <c r="H500" s="2">
        <v>0.0</v>
      </c>
      <c r="J500" s="3" t="s">
        <v>1707</v>
      </c>
      <c r="K500" s="2" t="s">
        <v>1708</v>
      </c>
      <c r="U500" s="8" t="str">
        <f t="shared" si="1"/>
        <v>CALL InsertOrUpdateProducto('677','Whisky Jameson Caskmates Ipa 750 ml','Jameson Caskmates Ipa 750 ml','52','7','0','','0','','https://img.quodom.com.ar/producto/677.png','Z677','','','','');</v>
      </c>
    </row>
    <row r="501">
      <c r="A501" s="2">
        <v>678.0</v>
      </c>
      <c r="B501" s="2" t="s">
        <v>1709</v>
      </c>
      <c r="C501" s="2" t="s">
        <v>1710</v>
      </c>
      <c r="D501" s="2">
        <v>52.0</v>
      </c>
      <c r="E501" s="2">
        <v>7.0</v>
      </c>
      <c r="F501" s="2">
        <v>0.0</v>
      </c>
      <c r="H501" s="2">
        <v>0.0</v>
      </c>
      <c r="J501" s="3" t="s">
        <v>1711</v>
      </c>
      <c r="K501" s="2" t="s">
        <v>1712</v>
      </c>
      <c r="U501" s="8" t="str">
        <f t="shared" si="1"/>
        <v>CALL InsertOrUpdateProducto('678','Whisky Johnnie Walker 18 Años 750 ml','Johnnie Walker 18 Años 750 ml','52','7','0','','0','','https://img.quodom.com.ar/producto/678.png','Z678','','','','');</v>
      </c>
    </row>
    <row r="502">
      <c r="A502" s="2">
        <v>679.0</v>
      </c>
      <c r="B502" s="2" t="s">
        <v>1713</v>
      </c>
      <c r="C502" s="2" t="s">
        <v>1714</v>
      </c>
      <c r="D502" s="2">
        <v>52.0</v>
      </c>
      <c r="E502" s="2">
        <v>7.0</v>
      </c>
      <c r="F502" s="2">
        <v>0.0</v>
      </c>
      <c r="H502" s="2">
        <v>0.0</v>
      </c>
      <c r="J502" s="3" t="s">
        <v>1715</v>
      </c>
      <c r="K502" s="2" t="s">
        <v>1716</v>
      </c>
      <c r="U502" s="8" t="str">
        <f t="shared" si="1"/>
        <v>CALL InsertOrUpdateProducto('679','Whisky Johnnie Walker 21 Años Xr 750 ml','Johnnie Walker 21 Años Xr 750 ml','52','7','0','','0','','https://img.quodom.com.ar/producto/679.png','Z679','','','','');</v>
      </c>
    </row>
    <row r="503">
      <c r="A503" s="2">
        <v>680.0</v>
      </c>
      <c r="B503" s="2" t="s">
        <v>1717</v>
      </c>
      <c r="C503" s="2" t="s">
        <v>1718</v>
      </c>
      <c r="D503" s="2">
        <v>52.0</v>
      </c>
      <c r="E503" s="2">
        <v>7.0</v>
      </c>
      <c r="F503" s="2">
        <v>0.0</v>
      </c>
      <c r="H503" s="2">
        <v>0.0</v>
      </c>
      <c r="J503" s="3" t="s">
        <v>1719</v>
      </c>
      <c r="K503" s="2" t="s">
        <v>1720</v>
      </c>
      <c r="U503" s="8" t="str">
        <f t="shared" si="1"/>
        <v>CALL InsertOrUpdateProducto('680','Whisky Johnnie Walker Black Label 1 litro','Johnnie Walker Black Label 1 litro','52','7','0','','0','','https://img.quodom.com.ar/producto/680.png','Z680','','','','');</v>
      </c>
    </row>
    <row r="504">
      <c r="A504" s="2">
        <v>681.0</v>
      </c>
      <c r="B504" s="2" t="s">
        <v>1721</v>
      </c>
      <c r="C504" s="2" t="s">
        <v>1722</v>
      </c>
      <c r="D504" s="2">
        <v>52.0</v>
      </c>
      <c r="E504" s="2">
        <v>7.0</v>
      </c>
      <c r="F504" s="2">
        <v>0.0</v>
      </c>
      <c r="H504" s="2">
        <v>0.0</v>
      </c>
      <c r="J504" s="3" t="s">
        <v>1723</v>
      </c>
      <c r="K504" s="2" t="s">
        <v>1724</v>
      </c>
      <c r="U504" s="8" t="str">
        <f t="shared" si="1"/>
        <v>CALL InsertOrUpdateProducto('681','Whisky Johnnie Walker Blue Label 750 ml','Johnnie Walker Blue Label 750 ml','52','7','0','','0','','https://img.quodom.com.ar/producto/681.png','Z681','','','','');</v>
      </c>
    </row>
    <row r="505">
      <c r="A505" s="2">
        <v>682.0</v>
      </c>
      <c r="B505" s="2" t="s">
        <v>1725</v>
      </c>
      <c r="C505" s="2" t="s">
        <v>1726</v>
      </c>
      <c r="D505" s="2">
        <v>52.0</v>
      </c>
      <c r="E505" s="2">
        <v>7.0</v>
      </c>
      <c r="F505" s="2">
        <v>0.0</v>
      </c>
      <c r="H505" s="2">
        <v>0.0</v>
      </c>
      <c r="J505" s="3" t="s">
        <v>1727</v>
      </c>
      <c r="K505" s="2" t="s">
        <v>1728</v>
      </c>
      <c r="U505" s="8" t="str">
        <f t="shared" si="1"/>
        <v>CALL InsertOrUpdateProducto('682','Whisky Johnnie Walker Double Black 750 ml','Johnnie Walker Double Black 750 ml','52','7','0','','0','','https://img.quodom.com.ar/producto/682.png','Z682','','','','');</v>
      </c>
    </row>
    <row r="506">
      <c r="A506" s="2">
        <v>683.0</v>
      </c>
      <c r="B506" s="2" t="s">
        <v>1729</v>
      </c>
      <c r="C506" s="2" t="s">
        <v>1730</v>
      </c>
      <c r="D506" s="2">
        <v>52.0</v>
      </c>
      <c r="E506" s="2">
        <v>7.0</v>
      </c>
      <c r="F506" s="2">
        <v>0.0</v>
      </c>
      <c r="H506" s="2">
        <v>0.0</v>
      </c>
      <c r="J506" s="3" t="s">
        <v>1731</v>
      </c>
      <c r="K506" s="2" t="s">
        <v>1732</v>
      </c>
      <c r="U506" s="8" t="str">
        <f t="shared" si="1"/>
        <v>CALL InsertOrUpdateProducto('683','Whisky Johnnie Walker Gold Reserve 750 ml','Johnnie Walker Gold Reserve 750 ml','52','7','0','','0','','https://img.quodom.com.ar/producto/683.png','Z683','','','','');</v>
      </c>
    </row>
    <row r="507">
      <c r="A507" s="2">
        <v>684.0</v>
      </c>
      <c r="B507" s="2" t="s">
        <v>1733</v>
      </c>
      <c r="C507" s="2" t="s">
        <v>1734</v>
      </c>
      <c r="D507" s="2">
        <v>52.0</v>
      </c>
      <c r="E507" s="2">
        <v>7.0</v>
      </c>
      <c r="F507" s="2">
        <v>0.0</v>
      </c>
      <c r="H507" s="2">
        <v>0.0</v>
      </c>
      <c r="J507" s="3" t="s">
        <v>1735</v>
      </c>
      <c r="K507" s="2" t="s">
        <v>1736</v>
      </c>
      <c r="U507" s="8" t="str">
        <f t="shared" si="1"/>
        <v>CALL InsertOrUpdateProducto('684','Whisky Johnnie Walker Green Label 750 ml','Johnnie Walker Green Label 750 ml','52','7','0','','0','','https://img.quodom.com.ar/producto/684.png','Z684','','','','');</v>
      </c>
    </row>
    <row r="508">
      <c r="A508" s="2">
        <v>685.0</v>
      </c>
      <c r="B508" s="2" t="s">
        <v>1737</v>
      </c>
      <c r="C508" s="2" t="s">
        <v>1738</v>
      </c>
      <c r="D508" s="2">
        <v>52.0</v>
      </c>
      <c r="E508" s="2">
        <v>7.0</v>
      </c>
      <c r="F508" s="2">
        <v>0.0</v>
      </c>
      <c r="H508" s="2">
        <v>0.0</v>
      </c>
      <c r="J508" s="3" t="s">
        <v>1739</v>
      </c>
      <c r="K508" s="2" t="s">
        <v>1740</v>
      </c>
      <c r="U508" s="8" t="str">
        <f t="shared" si="1"/>
        <v>CALL InsertOrUpdateProducto('685','Whisky Johnnie Walker Red Label 1 litro','Johnnie Walker Red Label 1 litro','52','7','0','','0','','https://img.quodom.com.ar/producto/685.png','Z685','','','','');</v>
      </c>
    </row>
    <row r="509">
      <c r="A509" s="2">
        <v>686.0</v>
      </c>
      <c r="B509" s="2" t="s">
        <v>1741</v>
      </c>
      <c r="C509" s="2" t="s">
        <v>1742</v>
      </c>
      <c r="D509" s="2">
        <v>52.0</v>
      </c>
      <c r="E509" s="2">
        <v>7.0</v>
      </c>
      <c r="F509" s="2">
        <v>0.0</v>
      </c>
      <c r="H509" s="2">
        <v>0.0</v>
      </c>
      <c r="J509" s="3" t="s">
        <v>1743</v>
      </c>
      <c r="K509" s="2" t="s">
        <v>1744</v>
      </c>
      <c r="U509" s="8" t="str">
        <f t="shared" si="1"/>
        <v>CALL InsertOrUpdateProducto('686','Whisky Johnnie Walker Swing 750 ml','Johnnie Walker Swing 750 ml','52','7','0','','0','','https://img.quodom.com.ar/producto/686.png','Z686','','','','');</v>
      </c>
    </row>
    <row r="510">
      <c r="A510" s="2">
        <v>687.0</v>
      </c>
      <c r="B510" s="2" t="s">
        <v>1745</v>
      </c>
      <c r="C510" s="2" t="s">
        <v>1746</v>
      </c>
      <c r="D510" s="2">
        <v>52.0</v>
      </c>
      <c r="E510" s="2">
        <v>7.0</v>
      </c>
      <c r="F510" s="2">
        <v>0.0</v>
      </c>
      <c r="H510" s="2">
        <v>0.0</v>
      </c>
      <c r="J510" s="3" t="s">
        <v>1747</v>
      </c>
      <c r="K510" s="2" t="s">
        <v>1748</v>
      </c>
      <c r="U510" s="8" t="str">
        <f t="shared" si="1"/>
        <v>CALL InsertOrUpdateProducto('687','Whisky Macallan 12 Años 700 ml','Macallan 12 Años 700 ml','52','7','0','','0','','https://img.quodom.com.ar/producto/687.png','Z687','','','','');</v>
      </c>
    </row>
    <row r="511">
      <c r="A511" s="2">
        <v>688.0</v>
      </c>
      <c r="B511" s="2" t="s">
        <v>1749</v>
      </c>
      <c r="C511" s="2" t="s">
        <v>1750</v>
      </c>
      <c r="D511" s="2">
        <v>52.0</v>
      </c>
      <c r="E511" s="2">
        <v>7.0</v>
      </c>
      <c r="F511" s="2">
        <v>0.0</v>
      </c>
      <c r="H511" s="2">
        <v>0.0</v>
      </c>
      <c r="J511" s="3" t="s">
        <v>1751</v>
      </c>
      <c r="K511" s="2" t="s">
        <v>1752</v>
      </c>
      <c r="U511" s="8" t="str">
        <f t="shared" si="1"/>
        <v>CALL InsertOrUpdateProducto('688','Whisky Royal Salute 21 años 700 ml','Royal Salute 21 años 700 ml','52','7','0','','0','','https://img.quodom.com.ar/producto/688.png','Z688','','','','');</v>
      </c>
    </row>
    <row r="512">
      <c r="A512" s="2">
        <v>689.0</v>
      </c>
      <c r="B512" s="2" t="s">
        <v>1753</v>
      </c>
      <c r="C512" s="2" t="s">
        <v>1754</v>
      </c>
      <c r="D512" s="2">
        <v>52.0</v>
      </c>
      <c r="E512" s="2">
        <v>7.0</v>
      </c>
      <c r="F512" s="2">
        <v>0.0</v>
      </c>
      <c r="H512" s="2">
        <v>0.0</v>
      </c>
      <c r="J512" s="3" t="s">
        <v>1755</v>
      </c>
      <c r="K512" s="2" t="s">
        <v>1756</v>
      </c>
      <c r="U512" s="8" t="str">
        <f t="shared" si="1"/>
        <v>CALL InsertOrUpdateProducto('689','Whisky The Famous Grouse Finest 750 ml','The Famous Grouse Finest 750 ml','52','7','0','','0','','https://img.quodom.com.ar/producto/689.png','Z689','','','','');</v>
      </c>
    </row>
    <row r="513">
      <c r="A513" s="2">
        <v>690.0</v>
      </c>
      <c r="B513" s="2" t="s">
        <v>1757</v>
      </c>
      <c r="C513" s="2" t="s">
        <v>1758</v>
      </c>
      <c r="D513" s="2">
        <v>52.0</v>
      </c>
      <c r="E513" s="2">
        <v>7.0</v>
      </c>
      <c r="F513" s="2">
        <v>0.0</v>
      </c>
      <c r="H513" s="2">
        <v>0.0</v>
      </c>
      <c r="J513" s="3" t="s">
        <v>1759</v>
      </c>
      <c r="K513" s="2" t="s">
        <v>1760</v>
      </c>
      <c r="U513" s="8" t="str">
        <f t="shared" si="1"/>
        <v>CALL InsertOrUpdateProducto('690','Whisky The Glenlivet 12 años 700 ml','The Glenlivet 12 años 700 ml','52','7','0','','0','','https://img.quodom.com.ar/producto/690.png','Z690','','','','');</v>
      </c>
    </row>
    <row r="514">
      <c r="A514" s="2">
        <v>691.0</v>
      </c>
      <c r="B514" s="2" t="s">
        <v>1761</v>
      </c>
      <c r="C514" s="2" t="s">
        <v>1762</v>
      </c>
      <c r="D514" s="2">
        <v>52.0</v>
      </c>
      <c r="E514" s="2">
        <v>7.0</v>
      </c>
      <c r="F514" s="2">
        <v>0.0</v>
      </c>
      <c r="H514" s="2">
        <v>0.0</v>
      </c>
      <c r="J514" s="3" t="s">
        <v>1763</v>
      </c>
      <c r="K514" s="2" t="s">
        <v>1764</v>
      </c>
      <c r="U514" s="8" t="str">
        <f t="shared" si="1"/>
        <v>CALL InsertOrUpdateProducto('691','Whisky Vat 69 750 ml','Vat 69 750 ml','52','7','0','','0','','https://img.quodom.com.ar/producto/691.png','Z691','','','','');</v>
      </c>
    </row>
    <row r="515">
      <c r="A515" s="2">
        <v>692.0</v>
      </c>
      <c r="B515" s="2" t="s">
        <v>1765</v>
      </c>
      <c r="C515" s="2" t="s">
        <v>1766</v>
      </c>
      <c r="D515" s="2">
        <v>52.0</v>
      </c>
      <c r="E515" s="2">
        <v>7.0</v>
      </c>
      <c r="F515" s="2">
        <v>0.0</v>
      </c>
      <c r="H515" s="2">
        <v>0.0</v>
      </c>
      <c r="J515" s="3" t="s">
        <v>1767</v>
      </c>
      <c r="K515" s="2" t="s">
        <v>1768</v>
      </c>
      <c r="U515" s="8" t="str">
        <f t="shared" si="1"/>
        <v>CALL InsertOrUpdateProducto('692','Whisky White Horse 750 ml','White Horse 750 ml','52','7','0','','0','','https://img.quodom.com.ar/producto/692.png','Z692','','','','');</v>
      </c>
    </row>
    <row r="516">
      <c r="A516" s="2">
        <v>693.0</v>
      </c>
      <c r="B516" s="2" t="s">
        <v>1769</v>
      </c>
      <c r="C516" s="2" t="s">
        <v>1770</v>
      </c>
      <c r="D516" s="2">
        <v>53.0</v>
      </c>
      <c r="E516" s="2">
        <v>7.0</v>
      </c>
      <c r="F516" s="2">
        <v>0.0</v>
      </c>
      <c r="H516" s="2">
        <v>0.0</v>
      </c>
      <c r="J516" s="3" t="s">
        <v>1771</v>
      </c>
      <c r="K516" s="2" t="s">
        <v>1772</v>
      </c>
      <c r="L516" s="2" t="s">
        <v>1648</v>
      </c>
      <c r="U516" s="8" t="str">
        <f t="shared" si="1"/>
        <v>CALL InsertOrUpdateProducto('693','Vodka Absolut 750 ml','Absolut 750 ml','53','7','0','','0','','https://img.quodom.com.ar/producto/693.png','Z693','SABOR','','','');</v>
      </c>
    </row>
    <row r="517">
      <c r="A517" s="2">
        <v>694.0</v>
      </c>
      <c r="B517" s="2" t="s">
        <v>1773</v>
      </c>
      <c r="C517" s="2" t="s">
        <v>1774</v>
      </c>
      <c r="D517" s="2">
        <v>53.0</v>
      </c>
      <c r="E517" s="2">
        <v>7.0</v>
      </c>
      <c r="F517" s="2">
        <v>0.0</v>
      </c>
      <c r="H517" s="2">
        <v>0.0</v>
      </c>
      <c r="J517" s="3" t="s">
        <v>1775</v>
      </c>
      <c r="K517" s="2" t="s">
        <v>1776</v>
      </c>
      <c r="U517" s="8" t="str">
        <f t="shared" si="1"/>
        <v>CALL InsertOrUpdateProducto('694','Vodka Kovac 750 ml','Kovac 750 ml','53','7','0','','0','','https://img.quodom.com.ar/producto/694.png','Z694','','','','');</v>
      </c>
    </row>
    <row r="518">
      <c r="A518" s="2">
        <v>695.0</v>
      </c>
      <c r="B518" s="2" t="s">
        <v>1777</v>
      </c>
      <c r="C518" s="2" t="s">
        <v>1778</v>
      </c>
      <c r="D518" s="2">
        <v>53.0</v>
      </c>
      <c r="E518" s="2">
        <v>7.0</v>
      </c>
      <c r="F518" s="2">
        <v>0.0</v>
      </c>
      <c r="H518" s="2">
        <v>0.0</v>
      </c>
      <c r="J518" s="3" t="s">
        <v>1779</v>
      </c>
      <c r="K518" s="2" t="s">
        <v>1780</v>
      </c>
      <c r="U518" s="8" t="str">
        <f t="shared" si="1"/>
        <v>CALL InsertOrUpdateProducto('695','Vodka Sernova Raspberry 700 ml','Sernova Raspberry 700 ml','53','7','0','','0','','https://img.quodom.com.ar/producto/695.png','Z695','','','','');</v>
      </c>
    </row>
    <row r="519">
      <c r="A519" s="2">
        <v>696.0</v>
      </c>
      <c r="B519" s="2" t="s">
        <v>1781</v>
      </c>
      <c r="C519" s="2" t="s">
        <v>1782</v>
      </c>
      <c r="D519" s="2">
        <v>53.0</v>
      </c>
      <c r="E519" s="2">
        <v>7.0</v>
      </c>
      <c r="F519" s="2">
        <v>0.0</v>
      </c>
      <c r="H519" s="2">
        <v>0.0</v>
      </c>
      <c r="J519" s="3" t="s">
        <v>1783</v>
      </c>
      <c r="K519" s="2" t="s">
        <v>1784</v>
      </c>
      <c r="L519" s="2" t="s">
        <v>1648</v>
      </c>
      <c r="U519" s="8" t="str">
        <f t="shared" si="1"/>
        <v>CALL InsertOrUpdateProducto('696','Vodka Sky 750 ml','Sky 750 ml','53','7','0','','0','','https://img.quodom.com.ar/producto/696.png','Z696','SABOR','','','');</v>
      </c>
    </row>
    <row r="520">
      <c r="A520" s="2">
        <v>697.0</v>
      </c>
      <c r="B520" s="2" t="s">
        <v>1785</v>
      </c>
      <c r="C520" s="2" t="s">
        <v>1786</v>
      </c>
      <c r="D520" s="2">
        <v>53.0</v>
      </c>
      <c r="E520" s="2">
        <v>7.0</v>
      </c>
      <c r="F520" s="2">
        <v>0.0</v>
      </c>
      <c r="H520" s="2">
        <v>0.0</v>
      </c>
      <c r="J520" s="3" t="s">
        <v>1787</v>
      </c>
      <c r="K520" s="2" t="s">
        <v>1788</v>
      </c>
      <c r="L520" s="2" t="s">
        <v>1648</v>
      </c>
      <c r="U520" s="8" t="str">
        <f t="shared" si="1"/>
        <v>CALL InsertOrUpdateProducto('697','Vodka Smirnoff 700 ml','Smirnoff 700 ml','53','7','0','','0','','https://img.quodom.com.ar/producto/697.png','Z697','SABOR','','','');</v>
      </c>
    </row>
    <row r="521">
      <c r="A521" s="2">
        <v>703.0</v>
      </c>
      <c r="B521" s="2" t="s">
        <v>1789</v>
      </c>
      <c r="C521" s="2" t="s">
        <v>1789</v>
      </c>
      <c r="D521" s="2">
        <v>37.0</v>
      </c>
      <c r="E521" s="2">
        <v>5.0</v>
      </c>
      <c r="F521" s="2">
        <v>0.0</v>
      </c>
      <c r="H521" s="2">
        <v>0.0</v>
      </c>
      <c r="J521" s="3" t="s">
        <v>1790</v>
      </c>
      <c r="K521" s="2" t="s">
        <v>1791</v>
      </c>
      <c r="L521" s="2" t="s">
        <v>540</v>
      </c>
      <c r="M521" s="2" t="s">
        <v>617</v>
      </c>
      <c r="U521" s="8" t="str">
        <f t="shared" si="1"/>
        <v>CALL InsertOrUpdateProducto('703','Barniz exterior','Barniz exterior','37','5','0','','0','','https://img.quodom.com.ar/producto/703.png','Z703','LITROS','TERMINACION','','');</v>
      </c>
    </row>
    <row r="522">
      <c r="A522" s="2">
        <v>704.0</v>
      </c>
      <c r="B522" s="2" t="s">
        <v>1792</v>
      </c>
      <c r="C522" s="2" t="s">
        <v>1792</v>
      </c>
      <c r="D522" s="2">
        <v>37.0</v>
      </c>
      <c r="E522" s="2">
        <v>5.0</v>
      </c>
      <c r="F522" s="2">
        <v>0.0</v>
      </c>
      <c r="H522" s="2">
        <v>0.0</v>
      </c>
      <c r="J522" s="3" t="s">
        <v>1793</v>
      </c>
      <c r="K522" s="2" t="s">
        <v>1794</v>
      </c>
      <c r="L522" s="2" t="s">
        <v>540</v>
      </c>
      <c r="U522" s="8" t="str">
        <f t="shared" si="1"/>
        <v>CALL InsertOrUpdateProducto('704','Fijador/sellador para madera','Fijador/sellador para madera','37','5','0','','0','','https://img.quodom.com.ar/producto/704.png','Z704','LITROS','','','');</v>
      </c>
    </row>
    <row r="523">
      <c r="A523" s="2">
        <v>705.0</v>
      </c>
      <c r="B523" s="2" t="s">
        <v>1795</v>
      </c>
      <c r="C523" s="2" t="s">
        <v>1795</v>
      </c>
      <c r="D523" s="2">
        <v>37.0</v>
      </c>
      <c r="E523" s="2">
        <v>5.0</v>
      </c>
      <c r="F523" s="2">
        <v>0.0</v>
      </c>
      <c r="H523" s="2">
        <v>0.0</v>
      </c>
      <c r="J523" s="3" t="s">
        <v>1796</v>
      </c>
      <c r="K523" s="2" t="s">
        <v>1797</v>
      </c>
      <c r="L523" s="2" t="s">
        <v>581</v>
      </c>
      <c r="U523" s="8" t="str">
        <f t="shared" si="1"/>
        <v>CALL InsertOrUpdateProducto('705','Tinta 240 ml','Tinta 240 ml','37','5','0','','0','','https://img.quodom.com.ar/producto/705.png','Z705','COLOR','','','');</v>
      </c>
    </row>
    <row r="524">
      <c r="A524" s="2">
        <v>706.0</v>
      </c>
      <c r="B524" s="2" t="s">
        <v>1798</v>
      </c>
      <c r="C524" s="2" t="s">
        <v>1798</v>
      </c>
      <c r="D524" s="2">
        <v>39.0</v>
      </c>
      <c r="E524" s="2">
        <v>5.0</v>
      </c>
      <c r="F524" s="2">
        <v>0.0</v>
      </c>
      <c r="H524" s="2">
        <v>0.0</v>
      </c>
      <c r="J524" s="3" t="s">
        <v>1799</v>
      </c>
      <c r="K524" s="2" t="s">
        <v>1800</v>
      </c>
      <c r="L524" s="2" t="s">
        <v>263</v>
      </c>
      <c r="U524" s="8" t="str">
        <f t="shared" si="1"/>
        <v>CALL InsertOrUpdateProducto('706','Pincel para Esmalte por 2 unidades','Pincel para Esmalte por 2 unidades','39','5','0','','0','','https://img.quodom.com.ar/producto/706.png','Z706','MEDIDAS','','','');</v>
      </c>
    </row>
    <row r="525">
      <c r="A525" s="2">
        <v>707.0</v>
      </c>
      <c r="B525" s="2" t="s">
        <v>1801</v>
      </c>
      <c r="C525" s="2" t="s">
        <v>1801</v>
      </c>
      <c r="D525" s="2">
        <v>39.0</v>
      </c>
      <c r="E525" s="2">
        <v>5.0</v>
      </c>
      <c r="F525" s="2">
        <v>0.0</v>
      </c>
      <c r="H525" s="2">
        <v>0.0</v>
      </c>
      <c r="J525" s="3" t="s">
        <v>1802</v>
      </c>
      <c r="K525" s="2" t="s">
        <v>1803</v>
      </c>
      <c r="U525" s="8" t="str">
        <f t="shared" si="1"/>
        <v>CALL InsertOrUpdateProducto('707','Llana Plástica 30 cm','Llana Plástica 30 cm','39','5','0','','0','','https://img.quodom.com.ar/producto/707.png','Z707','','','','');</v>
      </c>
    </row>
    <row r="526">
      <c r="A526" s="2">
        <v>708.0</v>
      </c>
      <c r="B526" s="2" t="s">
        <v>1804</v>
      </c>
      <c r="C526" s="2" t="s">
        <v>1804</v>
      </c>
      <c r="D526" s="2">
        <v>39.0</v>
      </c>
      <c r="E526" s="2">
        <v>5.0</v>
      </c>
      <c r="F526" s="2">
        <v>0.0</v>
      </c>
      <c r="H526" s="2">
        <v>0.0</v>
      </c>
      <c r="J526" s="3" t="s">
        <v>1805</v>
      </c>
      <c r="K526" s="2" t="s">
        <v>1806</v>
      </c>
      <c r="U526" s="8" t="str">
        <f t="shared" si="1"/>
        <v>CALL InsertOrUpdateProducto('708','Bandeja para Colgar','Bandeja para Colgar','39','5','0','','0','','https://img.quodom.com.ar/producto/708.png','Z708','','','','');</v>
      </c>
    </row>
    <row r="527">
      <c r="A527" s="2">
        <v>709.0</v>
      </c>
      <c r="B527" s="2" t="s">
        <v>1807</v>
      </c>
      <c r="C527" s="2" t="s">
        <v>1807</v>
      </c>
      <c r="D527" s="2">
        <v>39.0</v>
      </c>
      <c r="E527" s="2">
        <v>5.0</v>
      </c>
      <c r="F527" s="2">
        <v>0.0</v>
      </c>
      <c r="H527" s="2">
        <v>0.0</v>
      </c>
      <c r="J527" s="3" t="s">
        <v>1808</v>
      </c>
      <c r="K527" s="2" t="s">
        <v>1809</v>
      </c>
      <c r="L527" s="2" t="s">
        <v>263</v>
      </c>
      <c r="U527" s="8" t="str">
        <f t="shared" si="1"/>
        <v>CALL InsertOrUpdateProducto('709','Escalera de aluminio','Escalera de aluminio','39','5','0','','0','','https://img.quodom.com.ar/producto/709.png','Z709','MEDIDAS','','','');</v>
      </c>
    </row>
    <row r="528">
      <c r="A528" s="2">
        <v>710.0</v>
      </c>
      <c r="B528" s="2" t="s">
        <v>1810</v>
      </c>
      <c r="C528" s="2" t="s">
        <v>1810</v>
      </c>
      <c r="D528" s="2">
        <v>39.0</v>
      </c>
      <c r="E528" s="2">
        <v>5.0</v>
      </c>
      <c r="F528" s="2">
        <v>0.0</v>
      </c>
      <c r="H528" s="2">
        <v>0.0</v>
      </c>
      <c r="J528" s="3" t="s">
        <v>1811</v>
      </c>
      <c r="K528" s="2" t="s">
        <v>1812</v>
      </c>
      <c r="L528" s="2" t="s">
        <v>263</v>
      </c>
      <c r="U528" s="8" t="str">
        <f t="shared" si="1"/>
        <v>CALL InsertOrUpdateProducto('710','Escalera de aluminio extensible','Escalera de aluminio extensible','39','5','0','','0','','https://img.quodom.com.ar/producto/710.png','Z710','MEDIDAS','','','');</v>
      </c>
    </row>
    <row r="529">
      <c r="A529" s="2">
        <v>711.0</v>
      </c>
      <c r="B529" s="2" t="s">
        <v>1813</v>
      </c>
      <c r="C529" s="2" t="s">
        <v>1813</v>
      </c>
      <c r="D529" s="2">
        <v>39.0</v>
      </c>
      <c r="E529" s="2">
        <v>5.0</v>
      </c>
      <c r="F529" s="2">
        <v>0.0</v>
      </c>
      <c r="H529" s="2">
        <v>0.0</v>
      </c>
      <c r="J529" s="3" t="s">
        <v>1814</v>
      </c>
      <c r="K529" s="2" t="s">
        <v>1815</v>
      </c>
      <c r="L529" s="2" t="s">
        <v>263</v>
      </c>
      <c r="U529" s="8" t="str">
        <f t="shared" si="1"/>
        <v>CALL InsertOrUpdateProducto('711','Cinta azul por 5 unidades','Cinta azul por 5 unidades','39','5','0','','0','','https://img.quodom.com.ar/producto/711.png','Z711','MEDIDAS','','','');</v>
      </c>
    </row>
    <row r="530">
      <c r="A530" s="2">
        <v>712.0</v>
      </c>
      <c r="B530" s="2" t="s">
        <v>1816</v>
      </c>
      <c r="C530" s="2" t="s">
        <v>1816</v>
      </c>
      <c r="D530" s="2">
        <v>39.0</v>
      </c>
      <c r="E530" s="2">
        <v>5.0</v>
      </c>
      <c r="F530" s="2">
        <v>0.0</v>
      </c>
      <c r="H530" s="2">
        <v>0.0</v>
      </c>
      <c r="J530" s="3" t="s">
        <v>1817</v>
      </c>
      <c r="K530" s="2" t="s">
        <v>1818</v>
      </c>
      <c r="U530" s="8" t="str">
        <f t="shared" si="1"/>
        <v>CALL InsertOrUpdateProducto('712','Rodillo Antigota 22 cm','Rodillo Antigota 22 cm','39','5','0','','0','','https://img.quodom.com.ar/producto/712.png','Z712','','','','');</v>
      </c>
    </row>
    <row r="531">
      <c r="A531" s="2">
        <v>713.0</v>
      </c>
      <c r="B531" s="2" t="s">
        <v>1819</v>
      </c>
      <c r="C531" s="2" t="s">
        <v>1819</v>
      </c>
      <c r="D531" s="2">
        <v>39.0</v>
      </c>
      <c r="E531" s="2">
        <v>5.0</v>
      </c>
      <c r="F531" s="2">
        <v>0.0</v>
      </c>
      <c r="H531" s="2">
        <v>0.0</v>
      </c>
      <c r="J531" s="3" t="s">
        <v>1820</v>
      </c>
      <c r="K531" s="2" t="s">
        <v>1821</v>
      </c>
      <c r="U531" s="8" t="str">
        <f t="shared" si="1"/>
        <v>CALL InsertOrUpdateProducto('713','Rodillo Epoxi 22 cm','Rodillo Epoxi 22 cm','39','5','0','','0','','https://img.quodom.com.ar/producto/713.png','Z713','','','','');</v>
      </c>
    </row>
    <row r="532">
      <c r="A532" s="2">
        <v>714.0</v>
      </c>
      <c r="B532" s="2" t="s">
        <v>1822</v>
      </c>
      <c r="C532" s="2" t="s">
        <v>1822</v>
      </c>
      <c r="D532" s="2">
        <v>39.0</v>
      </c>
      <c r="E532" s="2">
        <v>5.0</v>
      </c>
      <c r="F532" s="2">
        <v>0.0</v>
      </c>
      <c r="H532" s="2">
        <v>0.0</v>
      </c>
      <c r="J532" s="3" t="s">
        <v>1823</v>
      </c>
      <c r="K532" s="2" t="s">
        <v>1824</v>
      </c>
      <c r="U532" s="8" t="str">
        <f t="shared" si="1"/>
        <v>CALL InsertOrUpdateProducto('714','Repuesto antigota 22 cm','Repuesto antigota 22 cm','39','5','0','','0','','https://img.quodom.com.ar/producto/714.png','Z714','','','','');</v>
      </c>
    </row>
    <row r="533">
      <c r="A533" s="2">
        <v>715.0</v>
      </c>
      <c r="B533" s="2" t="s">
        <v>1825</v>
      </c>
      <c r="C533" s="2" t="s">
        <v>1825</v>
      </c>
      <c r="D533" s="2">
        <v>39.0</v>
      </c>
      <c r="E533" s="2">
        <v>5.0</v>
      </c>
      <c r="F533" s="2">
        <v>0.0</v>
      </c>
      <c r="H533" s="2">
        <v>0.0</v>
      </c>
      <c r="J533" s="3" t="s">
        <v>1826</v>
      </c>
      <c r="K533" s="2" t="s">
        <v>1827</v>
      </c>
      <c r="L533" s="2" t="s">
        <v>263</v>
      </c>
      <c r="U533" s="8" t="str">
        <f t="shared" si="1"/>
        <v>CALL InsertOrUpdateProducto('715','Mango Jaula','Mango Jaula','39','5','0','','0','','https://img.quodom.com.ar/producto/715.png','Z715','MEDIDAS','','','');</v>
      </c>
    </row>
    <row r="534">
      <c r="A534" s="2">
        <v>716.0</v>
      </c>
      <c r="B534" s="2" t="s">
        <v>1828</v>
      </c>
      <c r="C534" s="2" t="s">
        <v>1828</v>
      </c>
      <c r="D534" s="2">
        <v>39.0</v>
      </c>
      <c r="E534" s="2">
        <v>5.0</v>
      </c>
      <c r="F534" s="2">
        <v>0.0</v>
      </c>
      <c r="H534" s="2">
        <v>0.0</v>
      </c>
      <c r="J534" s="3" t="s">
        <v>1829</v>
      </c>
      <c r="K534" s="2" t="s">
        <v>1830</v>
      </c>
      <c r="L534" s="2" t="s">
        <v>263</v>
      </c>
      <c r="U534" s="8" t="str">
        <f t="shared" si="1"/>
        <v>CALL InsertOrUpdateProducto('716','Rodillo de fibra sintética','Rodillo de fibra sintética','39','5','0','','0','','https://img.quodom.com.ar/producto/716.png','Z716','MEDIDAS','','','');</v>
      </c>
    </row>
    <row r="535">
      <c r="A535" s="2">
        <v>717.0</v>
      </c>
      <c r="B535" s="2" t="s">
        <v>1831</v>
      </c>
      <c r="C535" s="2" t="s">
        <v>1831</v>
      </c>
      <c r="D535" s="2">
        <v>39.0</v>
      </c>
      <c r="E535" s="2">
        <v>5.0</v>
      </c>
      <c r="F535" s="2">
        <v>0.0</v>
      </c>
      <c r="H535" s="2">
        <v>0.0</v>
      </c>
      <c r="J535" s="3" t="s">
        <v>1832</v>
      </c>
      <c r="K535" s="2" t="s">
        <v>1833</v>
      </c>
      <c r="L535" s="2" t="s">
        <v>263</v>
      </c>
      <c r="U535" s="8" t="str">
        <f t="shared" si="1"/>
        <v>CALL InsertOrUpdateProducto('717','Rodillo con tela','Rodillo con tela','39','5','0','','0','','https://img.quodom.com.ar/producto/717.png','Z717','MEDIDAS','','','');</v>
      </c>
    </row>
    <row r="536">
      <c r="A536" s="2">
        <v>718.0</v>
      </c>
      <c r="B536" s="2" t="s">
        <v>1834</v>
      </c>
      <c r="C536" s="2" t="s">
        <v>1834</v>
      </c>
      <c r="D536" s="2">
        <v>39.0</v>
      </c>
      <c r="E536" s="2">
        <v>5.0</v>
      </c>
      <c r="F536" s="2">
        <v>0.0</v>
      </c>
      <c r="H536" s="2">
        <v>0.0</v>
      </c>
      <c r="J536" s="3" t="s">
        <v>1835</v>
      </c>
      <c r="K536" s="2" t="s">
        <v>1836</v>
      </c>
      <c r="L536" s="2" t="s">
        <v>263</v>
      </c>
      <c r="U536" s="8" t="str">
        <f t="shared" si="1"/>
        <v>CALL InsertOrUpdateProducto('718','Rodillo sin tela','Rodillo sin tela','39','5','0','','0','','https://img.quodom.com.ar/producto/718.png','Z718','MEDIDAS','','','');</v>
      </c>
    </row>
    <row r="537">
      <c r="A537" s="2">
        <v>719.0</v>
      </c>
      <c r="B537" s="2" t="s">
        <v>1837</v>
      </c>
      <c r="C537" s="2" t="s">
        <v>1837</v>
      </c>
      <c r="D537" s="2">
        <v>54.0</v>
      </c>
      <c r="E537" s="2">
        <v>8.0</v>
      </c>
      <c r="F537" s="2">
        <v>0.0</v>
      </c>
      <c r="H537" s="2">
        <v>0.0</v>
      </c>
      <c r="J537" s="3" t="s">
        <v>1838</v>
      </c>
      <c r="K537" s="2" t="s">
        <v>1839</v>
      </c>
      <c r="U537" s="8" t="str">
        <f t="shared" si="1"/>
        <v>CALL InsertOrUpdateProducto('719','Pantalón tipo cargo Dama','Pantalón tipo cargo Dama','54','8','0','','0','','https://img.quodom.com.ar/producto/719.png','Z719','','','','');</v>
      </c>
    </row>
    <row r="538">
      <c r="A538" s="2">
        <v>720.0</v>
      </c>
      <c r="B538" s="2" t="s">
        <v>1840</v>
      </c>
      <c r="C538" s="2" t="s">
        <v>1840</v>
      </c>
      <c r="D538" s="2">
        <v>57.0</v>
      </c>
      <c r="E538" s="2">
        <v>8.0</v>
      </c>
      <c r="F538" s="2">
        <v>0.0</v>
      </c>
      <c r="H538" s="2">
        <v>0.0</v>
      </c>
      <c r="J538" s="3" t="s">
        <v>1841</v>
      </c>
      <c r="K538" s="2" t="s">
        <v>1842</v>
      </c>
      <c r="U538" s="8" t="str">
        <f t="shared" si="1"/>
        <v>CALL InsertOrUpdateProducto('720','Adaptador De Filtro 3M™ 502','Adaptador De Filtro 3M™ 502','57','8','0','','0','','https://img.quodom.com.ar/producto/720.png','Z720','','','','');</v>
      </c>
    </row>
    <row r="539">
      <c r="A539" s="2">
        <v>721.0</v>
      </c>
      <c r="B539" s="2" t="s">
        <v>1843</v>
      </c>
      <c r="C539" s="2" t="s">
        <v>1843</v>
      </c>
      <c r="D539" s="2">
        <v>57.0</v>
      </c>
      <c r="E539" s="2">
        <v>8.0</v>
      </c>
      <c r="F539" s="2">
        <v>0.0</v>
      </c>
      <c r="H539" s="2">
        <v>0.0</v>
      </c>
      <c r="J539" s="3" t="s">
        <v>1844</v>
      </c>
      <c r="K539" s="2" t="s">
        <v>1845</v>
      </c>
      <c r="U539" s="8" t="str">
        <f t="shared" si="1"/>
        <v>CALL InsertOrUpdateProducto('721','Retenedor 3m por 2 unidades','Retenedor 3m por 2 unidades','57','8','0','','0','','https://img.quodom.com.ar/producto/721.png','Z721','','','','');</v>
      </c>
    </row>
    <row r="540">
      <c r="A540" s="2">
        <v>722.0</v>
      </c>
      <c r="B540" s="2" t="s">
        <v>1846</v>
      </c>
      <c r="C540" s="2" t="s">
        <v>1846</v>
      </c>
      <c r="D540" s="2">
        <v>57.0</v>
      </c>
      <c r="E540" s="2">
        <v>8.0</v>
      </c>
      <c r="F540" s="2">
        <v>0.0</v>
      </c>
      <c r="H540" s="2">
        <v>0.0</v>
      </c>
      <c r="J540" s="3" t="s">
        <v>1847</v>
      </c>
      <c r="K540" s="2" t="s">
        <v>1848</v>
      </c>
      <c r="U540" s="8" t="str">
        <f t="shared" si="1"/>
        <v>CALL InsertOrUpdateProducto('722','Sujetador Filtros 3M™ 501 por 2 unidades','Sujetador Filtros 3M™ 501 por 2 unidades','57','8','0','','0','','https://img.quodom.com.ar/producto/722.png','Z722','','','','');</v>
      </c>
    </row>
    <row r="541">
      <c r="A541" s="2">
        <v>723.0</v>
      </c>
      <c r="B541" s="2" t="s">
        <v>1849</v>
      </c>
      <c r="C541" s="2" t="s">
        <v>1849</v>
      </c>
      <c r="D541" s="2">
        <v>57.0</v>
      </c>
      <c r="E541" s="2">
        <v>8.0</v>
      </c>
      <c r="F541" s="2">
        <v>0.0</v>
      </c>
      <c r="H541" s="2">
        <v>0.0</v>
      </c>
      <c r="J541" s="3" t="s">
        <v>1850</v>
      </c>
      <c r="K541" s="2" t="s">
        <v>1851</v>
      </c>
      <c r="U541" s="8" t="str">
        <f t="shared" si="1"/>
        <v>CALL InsertOrUpdateProducto('723','Cartucho vapor orgánico 6001 3M por 2 unidades','Cartucho vapor orgánico 6001 3M por 2 unidades','57','8','0','','0','','https://img.quodom.com.ar/producto/723.png','Z723','','','','');</v>
      </c>
    </row>
    <row r="542">
      <c r="A542" s="2">
        <v>724.0</v>
      </c>
      <c r="B542" s="2" t="s">
        <v>1852</v>
      </c>
      <c r="C542" s="2" t="s">
        <v>1852</v>
      </c>
      <c r="D542" s="2">
        <v>57.0</v>
      </c>
      <c r="E542" s="2">
        <v>8.0</v>
      </c>
      <c r="F542" s="2">
        <v>0.0</v>
      </c>
      <c r="H542" s="2">
        <v>0.0</v>
      </c>
      <c r="J542" s="3" t="s">
        <v>1853</v>
      </c>
      <c r="K542" s="2" t="s">
        <v>1854</v>
      </c>
      <c r="U542" s="8" t="str">
        <f t="shared" si="1"/>
        <v>CALL InsertOrUpdateProducto('724','Cartucho gas ácido 6002 3M por 2 unidades','Cartucho gas ácido 6002 3M por 2 unidades','57','8','0','','0','','https://img.quodom.com.ar/producto/724.png','Z724','','','','');</v>
      </c>
    </row>
    <row r="543">
      <c r="A543" s="2">
        <v>725.0</v>
      </c>
      <c r="B543" s="2" t="s">
        <v>1855</v>
      </c>
      <c r="C543" s="2" t="s">
        <v>1855</v>
      </c>
      <c r="D543" s="2">
        <v>57.0</v>
      </c>
      <c r="E543" s="2">
        <v>8.0</v>
      </c>
      <c r="F543" s="2">
        <v>0.0</v>
      </c>
      <c r="H543" s="2">
        <v>0.0</v>
      </c>
      <c r="J543" s="3" t="s">
        <v>1856</v>
      </c>
      <c r="K543" s="2" t="s">
        <v>1857</v>
      </c>
      <c r="U543" s="8" t="str">
        <f t="shared" si="1"/>
        <v>CALL InsertOrUpdateProducto('725','Cartucho gas ácido 6003 3M por 2 unidades','Cartucho gas ácido 6003 3M por 2 unidades','57','8','0','','0','','https://img.quodom.com.ar/producto/725.png','Z725','','','','');</v>
      </c>
    </row>
    <row r="544">
      <c r="A544" s="2">
        <v>726.0</v>
      </c>
      <c r="B544" s="2" t="s">
        <v>1858</v>
      </c>
      <c r="C544" s="2" t="s">
        <v>1858</v>
      </c>
      <c r="D544" s="2">
        <v>57.0</v>
      </c>
      <c r="E544" s="2">
        <v>8.0</v>
      </c>
      <c r="F544" s="2">
        <v>0.0</v>
      </c>
      <c r="H544" s="2">
        <v>0.0</v>
      </c>
      <c r="J544" s="3" t="s">
        <v>1859</v>
      </c>
      <c r="K544" s="2" t="s">
        <v>1860</v>
      </c>
      <c r="U544" s="8" t="str">
        <f t="shared" si="1"/>
        <v>CALL InsertOrUpdateProducto('726','Cartucho amoníaco y metilamina 6004 3M por 2 unidades','Cartucho amoníaco y metilamina 6004 3M por 2 unidades','57','8','0','','0','','https://img.quodom.com.ar/producto/726.png','Z726','','','','');</v>
      </c>
    </row>
    <row r="545">
      <c r="A545" s="2">
        <v>727.0</v>
      </c>
      <c r="B545" s="2" t="s">
        <v>1861</v>
      </c>
      <c r="C545" s="2" t="s">
        <v>1861</v>
      </c>
      <c r="D545" s="2">
        <v>57.0</v>
      </c>
      <c r="E545" s="2">
        <v>8.0</v>
      </c>
      <c r="F545" s="2">
        <v>0.0</v>
      </c>
      <c r="H545" s="2">
        <v>0.0</v>
      </c>
      <c r="J545" s="3" t="s">
        <v>1862</v>
      </c>
      <c r="K545" s="2" t="s">
        <v>1863</v>
      </c>
      <c r="U545" s="8" t="str">
        <f t="shared" si="1"/>
        <v>CALL InsertOrUpdateProducto('727','Cartucho formaldehído y vapores orgánicos 6005 3M por 2 unidades','Cartucho formaldehído y vapores orgánicos 6005 3M por 2 unidades','57','8','0','','0','','https://img.quodom.com.ar/producto/727.png','Z727','','','','');</v>
      </c>
    </row>
    <row r="546">
      <c r="A546" s="2">
        <v>728.0</v>
      </c>
      <c r="B546" s="2" t="s">
        <v>1864</v>
      </c>
      <c r="C546" s="2" t="s">
        <v>1864</v>
      </c>
      <c r="D546" s="2">
        <v>57.0</v>
      </c>
      <c r="E546" s="2">
        <v>8.0</v>
      </c>
      <c r="F546" s="2">
        <v>0.0</v>
      </c>
      <c r="H546" s="2">
        <v>0.0</v>
      </c>
      <c r="J546" s="3" t="s">
        <v>1865</v>
      </c>
      <c r="K546" s="2" t="s">
        <v>1866</v>
      </c>
      <c r="U546" s="8" t="str">
        <f t="shared" si="1"/>
        <v>CALL InsertOrUpdateProducto('728','Cartucho multi gas y vapor 6006 3M por 2 unidades','Cartucho multi gas y vapor 6006 3M por 2 unidades','57','8','0','','0','','https://img.quodom.com.ar/producto/728.png','Z728','','','','');</v>
      </c>
    </row>
    <row r="547">
      <c r="A547" s="2">
        <v>729.0</v>
      </c>
      <c r="B547" s="2" t="s">
        <v>1867</v>
      </c>
      <c r="C547" s="2" t="s">
        <v>1867</v>
      </c>
      <c r="D547" s="2">
        <v>57.0</v>
      </c>
      <c r="E547" s="2">
        <v>8.0</v>
      </c>
      <c r="F547" s="2">
        <v>0.0</v>
      </c>
      <c r="H547" s="2">
        <v>0.0</v>
      </c>
      <c r="J547" s="3" t="s">
        <v>1868</v>
      </c>
      <c r="K547" s="2" t="s">
        <v>1869</v>
      </c>
      <c r="U547" s="8" t="str">
        <f t="shared" si="1"/>
        <v>CALL InsertOrUpdateProducto('729','Cartucho vapor de mercurio y cloro 6009S 3M por 2 unidades','Cartucho vapor de mercurio y cloro 6009S 3M por 2 unidades','57','8','0','','0','','https://img.quodom.com.ar/producto/729.png','Z729','','','','');</v>
      </c>
    </row>
    <row r="548">
      <c r="A548" s="2">
        <v>730.0</v>
      </c>
      <c r="B548" s="2" t="s">
        <v>1870</v>
      </c>
      <c r="C548" s="2" t="s">
        <v>1870</v>
      </c>
      <c r="D548" s="2">
        <v>57.0</v>
      </c>
      <c r="E548" s="2">
        <v>8.0</v>
      </c>
      <c r="F548" s="2">
        <v>0.0</v>
      </c>
      <c r="H548" s="2">
        <v>0.0</v>
      </c>
      <c r="J548" s="3" t="s">
        <v>1871</v>
      </c>
      <c r="K548" s="2" t="s">
        <v>1872</v>
      </c>
      <c r="U548" s="8" t="str">
        <f t="shared" si="1"/>
        <v>CALL InsertOrUpdateProducto('730','Filtro Avanzado 3M™ P100 Olores Gases Ácidos 2296 por 2 unidades','Filtro Avanzado 3M™ P100 Olores Gases Ácidos 2296 por 2 unidades','57','8','0','','0','','https://img.quodom.com.ar/producto/730.png','Z730','','','','');</v>
      </c>
    </row>
    <row r="549">
      <c r="A549" s="2">
        <v>731.0</v>
      </c>
      <c r="B549" s="2" t="s">
        <v>1873</v>
      </c>
      <c r="C549" s="2" t="s">
        <v>1873</v>
      </c>
      <c r="D549" s="2">
        <v>57.0</v>
      </c>
      <c r="E549" s="2">
        <v>8.0</v>
      </c>
      <c r="F549" s="2">
        <v>0.0</v>
      </c>
      <c r="H549" s="2">
        <v>0.0</v>
      </c>
      <c r="J549" s="3" t="s">
        <v>1874</v>
      </c>
      <c r="K549" s="2" t="s">
        <v>1875</v>
      </c>
      <c r="U549" s="8" t="str">
        <f t="shared" si="1"/>
        <v>CALL InsertOrUpdateProducto('731','Filtro para Partículas 3M™ P100, 2096, c/Alivio para Gases Ácidos por 2 uni','Filtro para Partículas 3M™ P100, 2096, c/Alivio para Gases Ácidos por 2 uni','57','8','0','','0','','https://img.quodom.com.ar/producto/731.png','Z731','','','','');</v>
      </c>
    </row>
    <row r="550">
      <c r="A550" s="2">
        <v>732.0</v>
      </c>
      <c r="B550" s="2" t="s">
        <v>1876</v>
      </c>
      <c r="C550" s="2" t="s">
        <v>1876</v>
      </c>
      <c r="D550" s="2">
        <v>57.0</v>
      </c>
      <c r="E550" s="2">
        <v>8.0</v>
      </c>
      <c r="F550" s="2">
        <v>0.0</v>
      </c>
      <c r="H550" s="2">
        <v>0.0</v>
      </c>
      <c r="J550" s="3" t="s">
        <v>1877</v>
      </c>
      <c r="K550" s="2" t="s">
        <v>1878</v>
      </c>
      <c r="U550" s="8" t="str">
        <f t="shared" si="1"/>
        <v>CALL InsertOrUpdateProducto('732','Filtro Avanzado 3M™ P100 Partículas 2291 por 2 unidades','Filtro Avanzado 3M™ P100 Partículas 2291 por 2 unidades','57','8','0','','0','','https://img.quodom.com.ar/producto/732.png','Z732','','','','');</v>
      </c>
    </row>
    <row r="551">
      <c r="A551" s="2">
        <v>733.0</v>
      </c>
      <c r="B551" s="2" t="s">
        <v>1879</v>
      </c>
      <c r="C551" s="2" t="s">
        <v>1879</v>
      </c>
      <c r="D551" s="2">
        <v>57.0</v>
      </c>
      <c r="E551" s="2">
        <v>8.0</v>
      </c>
      <c r="F551" s="2">
        <v>0.0</v>
      </c>
      <c r="H551" s="2">
        <v>0.0</v>
      </c>
      <c r="J551" s="3" t="s">
        <v>1880</v>
      </c>
      <c r="K551" s="2" t="s">
        <v>1881</v>
      </c>
      <c r="U551" s="8" t="str">
        <f t="shared" si="1"/>
        <v>CALL InsertOrUpdateProducto('733','Filtro 3M™ P100 Ozono y Vapores Orgánicos 2097 por 2 unidades','Filtro 3M™ P100 Ozono y Vapores Orgánicos 2097 por 2 unidades','57','8','0','','0','','https://img.quodom.com.ar/producto/733.png','Z733','','','','');</v>
      </c>
    </row>
    <row r="552">
      <c r="A552" s="2">
        <v>734.0</v>
      </c>
      <c r="B552" s="2" t="s">
        <v>1882</v>
      </c>
      <c r="C552" s="2" t="s">
        <v>1882</v>
      </c>
      <c r="D552" s="2">
        <v>57.0</v>
      </c>
      <c r="E552" s="2">
        <v>8.0</v>
      </c>
      <c r="F552" s="2">
        <v>0.0</v>
      </c>
      <c r="H552" s="2">
        <v>0.0</v>
      </c>
      <c r="J552" s="3" t="s">
        <v>1883</v>
      </c>
      <c r="K552" s="2" t="s">
        <v>1884</v>
      </c>
      <c r="U552" s="8" t="str">
        <f t="shared" si="1"/>
        <v>CALL InsertOrUpdateProducto('734','Filtro 3M™ 207, 2078, P95, c/Alivio para Vapor Orgánico Gas Ácido por 2 uni','Filtro 3M™ 207, 2078, P95, c/Alivio para Vapor Orgánico Gas Ácido por 2 uni','57','8','0','','0','','https://img.quodom.com.ar/producto/734.png','Z734','','','','');</v>
      </c>
    </row>
    <row r="553">
      <c r="A553" s="2">
        <v>735.0</v>
      </c>
      <c r="B553" s="2" t="s">
        <v>1885</v>
      </c>
      <c r="C553" s="2" t="s">
        <v>1885</v>
      </c>
      <c r="D553" s="2">
        <v>57.0</v>
      </c>
      <c r="E553" s="2">
        <v>8.0</v>
      </c>
      <c r="F553" s="2">
        <v>0.0</v>
      </c>
      <c r="H553" s="2">
        <v>0.0</v>
      </c>
      <c r="J553" s="3" t="s">
        <v>1886</v>
      </c>
      <c r="K553" s="2" t="s">
        <v>1887</v>
      </c>
      <c r="U553" s="8" t="str">
        <f t="shared" si="1"/>
        <v>CALL InsertOrUpdateProducto('735','Filtro 3M™ 5N11 N95 Protección Respiratoria por 10 unidades','Filtro 3M™ 5N11 N95 Protección Respiratoria por 10 unidades','57','8','0','','0','','https://img.quodom.com.ar/producto/735.png','Z735','','','','');</v>
      </c>
    </row>
    <row r="554">
      <c r="A554" s="2">
        <v>736.0</v>
      </c>
      <c r="B554" s="2" t="s">
        <v>1888</v>
      </c>
      <c r="C554" s="2" t="s">
        <v>1888</v>
      </c>
      <c r="D554" s="2">
        <v>57.0</v>
      </c>
      <c r="E554" s="2">
        <v>8.0</v>
      </c>
      <c r="F554" s="2">
        <v>0.0</v>
      </c>
      <c r="H554" s="2">
        <v>0.0</v>
      </c>
      <c r="J554" s="3" t="s">
        <v>1889</v>
      </c>
      <c r="K554" s="2" t="s">
        <v>1890</v>
      </c>
      <c r="U554" s="8" t="str">
        <f t="shared" si="1"/>
        <v>CALL InsertOrUpdateProducto('736','Filtro 3M™ 2091-07000(AAD) P100 por 2 unidades','Filtro 3M™ 2091-07000(AAD) P100 por 2 unidades','57','8','0','','0','','https://img.quodom.com.ar/producto/736.png','Z736','','','','');</v>
      </c>
    </row>
    <row r="555">
      <c r="A555" s="2">
        <v>737.0</v>
      </c>
      <c r="B555" s="2" t="s">
        <v>1891</v>
      </c>
      <c r="C555" s="2" t="s">
        <v>1891</v>
      </c>
      <c r="D555" s="2">
        <v>57.0</v>
      </c>
      <c r="E555" s="2">
        <v>8.0</v>
      </c>
      <c r="F555" s="2">
        <v>0.0</v>
      </c>
      <c r="H555" s="2">
        <v>0.0</v>
      </c>
      <c r="J555" s="3" t="s">
        <v>1892</v>
      </c>
      <c r="K555" s="2" t="s">
        <v>1893</v>
      </c>
      <c r="U555" s="8" t="str">
        <f t="shared" si="1"/>
        <v>CALL InsertOrUpdateProducto('737','Filtro 3M™ P95 Protección Respiratoria 2071 por 2 unidades','Filtro 3M™ P95 Protección Respiratoria 2071 por 2 unidades','57','8','0','','0','','https://img.quodom.com.ar/producto/737.png','Z737','','','','');</v>
      </c>
    </row>
    <row r="556">
      <c r="A556" s="2">
        <v>738.0</v>
      </c>
      <c r="B556" s="2" t="s">
        <v>1894</v>
      </c>
      <c r="C556" s="2" t="s">
        <v>1894</v>
      </c>
      <c r="D556" s="2">
        <v>56.0</v>
      </c>
      <c r="E556" s="2">
        <v>8.0</v>
      </c>
      <c r="F556" s="2">
        <v>0.0</v>
      </c>
      <c r="H556" s="2">
        <v>0.0</v>
      </c>
      <c r="J556" s="3" t="s">
        <v>1895</v>
      </c>
      <c r="K556" s="2" t="s">
        <v>1896</v>
      </c>
      <c r="U556" s="8" t="str">
        <f t="shared" si="1"/>
        <v>CALL InsertOrUpdateProducto('738','Sombra para casco por 5 unidades','Sombra para casco por 5 unidades','56','8','0','','0','','https://img.quodom.com.ar/producto/738.png','Z738','','','','');</v>
      </c>
    </row>
    <row r="557">
      <c r="A557" s="2">
        <v>739.0</v>
      </c>
      <c r="B557" s="2" t="s">
        <v>1897</v>
      </c>
      <c r="C557" s="2" t="s">
        <v>1897</v>
      </c>
      <c r="D557" s="2">
        <v>56.0</v>
      </c>
      <c r="E557" s="2">
        <v>8.0</v>
      </c>
      <c r="F557" s="2">
        <v>0.0</v>
      </c>
      <c r="H557" s="2">
        <v>0.0</v>
      </c>
      <c r="J557" s="3" t="s">
        <v>1898</v>
      </c>
      <c r="K557" s="2" t="s">
        <v>1899</v>
      </c>
      <c r="U557" s="8" t="str">
        <f t="shared" si="1"/>
        <v>CALL InsertOrUpdateProducto('739','Casco con arnes para altura por 5 unidades','Casco con arnes para altura por 5 unidades','56','8','0','','0','','https://img.quodom.com.ar/producto/739.png','Z739','','','','');</v>
      </c>
    </row>
    <row r="558">
      <c r="A558" s="2">
        <v>740.0</v>
      </c>
      <c r="B558" s="2" t="s">
        <v>1900</v>
      </c>
      <c r="C558" s="2" t="s">
        <v>1900</v>
      </c>
      <c r="D558" s="2">
        <v>59.0</v>
      </c>
      <c r="E558" s="2">
        <v>1.0</v>
      </c>
      <c r="F558" s="2">
        <v>0.0</v>
      </c>
      <c r="H558" s="2">
        <v>0.0</v>
      </c>
      <c r="J558" s="3" t="s">
        <v>1901</v>
      </c>
      <c r="K558" s="2" t="s">
        <v>1902</v>
      </c>
      <c r="U558" s="8" t="str">
        <f t="shared" si="1"/>
        <v>CALL InsertOrUpdateProducto('740','Cinta de Peligro 200 mts por 8 cm','Cinta de Peligro 200 mts por 8 cm','59','1','0','','0','','https://img.quodom.com.ar/producto/740.png','Z740','','','','');</v>
      </c>
    </row>
    <row r="559">
      <c r="A559" s="2">
        <v>741.0</v>
      </c>
      <c r="B559" s="2" t="s">
        <v>1903</v>
      </c>
      <c r="C559" s="2" t="s">
        <v>1903</v>
      </c>
      <c r="D559" s="2">
        <v>59.0</v>
      </c>
      <c r="E559" s="2">
        <v>1.0</v>
      </c>
      <c r="F559" s="2">
        <v>0.0</v>
      </c>
      <c r="H559" s="2">
        <v>0.0</v>
      </c>
      <c r="J559" s="3" t="s">
        <v>1904</v>
      </c>
      <c r="K559" s="2" t="s">
        <v>1905</v>
      </c>
      <c r="U559" s="8" t="str">
        <f t="shared" si="1"/>
        <v>CALL InsertOrUpdateProducto('741','Cinta Antideslizante 25 mm por 18 mts','Cinta Antideslizante 25 mm por 18 mts','59','1','0','','0','','https://img.quodom.com.ar/producto/741.png','Z741','','','','');</v>
      </c>
    </row>
    <row r="560">
      <c r="A560" s="2">
        <v>742.0</v>
      </c>
      <c r="B560" s="2" t="s">
        <v>1906</v>
      </c>
      <c r="C560" s="2" t="s">
        <v>1906</v>
      </c>
      <c r="D560" s="2">
        <v>59.0</v>
      </c>
      <c r="E560" s="2">
        <v>1.0</v>
      </c>
      <c r="F560" s="2">
        <v>0.0</v>
      </c>
      <c r="H560" s="2">
        <v>0.0</v>
      </c>
      <c r="J560" s="3" t="s">
        <v>1907</v>
      </c>
      <c r="K560" s="2" t="s">
        <v>1908</v>
      </c>
      <c r="L560" s="2" t="s">
        <v>315</v>
      </c>
      <c r="U560" s="8" t="str">
        <f t="shared" si="1"/>
        <v>CALL InsertOrUpdateProducto('742','Faja Lumbar por 5 unidades','Faja Lumbar por 5 unidades','59','1','0','','0','','https://img.quodom.com.ar/producto/742.png','Z742','TALLE','','','');</v>
      </c>
    </row>
    <row r="561">
      <c r="A561" s="2">
        <v>743.0</v>
      </c>
      <c r="B561" s="2" t="s">
        <v>1909</v>
      </c>
      <c r="C561" s="2" t="s">
        <v>1909</v>
      </c>
      <c r="D561" s="2">
        <v>59.0</v>
      </c>
      <c r="E561" s="2">
        <v>1.0</v>
      </c>
      <c r="F561" s="2">
        <v>0.0</v>
      </c>
      <c r="H561" s="2">
        <v>0.0</v>
      </c>
      <c r="J561" s="3" t="s">
        <v>1910</v>
      </c>
      <c r="K561" s="2" t="s">
        <v>1911</v>
      </c>
      <c r="L561" s="2" t="s">
        <v>263</v>
      </c>
      <c r="U561" s="8" t="str">
        <f t="shared" si="1"/>
        <v>CALL InsertOrUpdateProducto('743','Cono reflectivo por 5 unidades','Cono reflectivo por 5 unidades','59','1','0','','0','','https://img.quodom.com.ar/producto/743.png','Z743','MEDIDAS','','','');</v>
      </c>
    </row>
    <row r="562">
      <c r="A562" s="2">
        <v>744.0</v>
      </c>
      <c r="B562" s="2" t="s">
        <v>1276</v>
      </c>
      <c r="C562" s="2" t="s">
        <v>1276</v>
      </c>
      <c r="D562" s="2">
        <v>9.0</v>
      </c>
      <c r="E562" s="2">
        <v>2.0</v>
      </c>
      <c r="F562" s="2">
        <v>0.0</v>
      </c>
      <c r="H562" s="2">
        <v>0.0</v>
      </c>
      <c r="J562" s="3" t="s">
        <v>1912</v>
      </c>
      <c r="K562" s="2" t="s">
        <v>1913</v>
      </c>
      <c r="L562" s="2" t="s">
        <v>259</v>
      </c>
      <c r="U562" s="8" t="str">
        <f t="shared" si="1"/>
        <v>CALL InsertOrUpdateProducto('744','Resma de papel por 5 unidades','Resma de papel por 5 unidades','9','2','0','','0','','https://img.quodom.com.ar/producto/744.png','Z744','TIPO','','','');</v>
      </c>
    </row>
    <row r="563">
      <c r="A563" s="2">
        <v>745.0</v>
      </c>
      <c r="B563" s="2" t="s">
        <v>1914</v>
      </c>
      <c r="C563" s="2" t="s">
        <v>1914</v>
      </c>
      <c r="D563" s="2">
        <v>9.0</v>
      </c>
      <c r="E563" s="2">
        <v>2.0</v>
      </c>
      <c r="F563" s="2">
        <v>0.0</v>
      </c>
      <c r="H563" s="2">
        <v>0.0</v>
      </c>
      <c r="J563" s="3" t="s">
        <v>1915</v>
      </c>
      <c r="K563" s="2" t="s">
        <v>1916</v>
      </c>
      <c r="L563" s="2" t="s">
        <v>259</v>
      </c>
      <c r="U563" s="8" t="str">
        <f t="shared" si="1"/>
        <v>CALL InsertOrUpdateProducto('745','Papel fotográfico por 5 unidades','Papel fotográfico por 5 unidades','9','2','0','','0','','https://img.quodom.com.ar/producto/745.png','Z745','TIPO','','','');</v>
      </c>
    </row>
    <row r="564">
      <c r="A564" s="2">
        <v>746.0</v>
      </c>
      <c r="B564" s="2" t="s">
        <v>1917</v>
      </c>
      <c r="C564" s="2" t="s">
        <v>1917</v>
      </c>
      <c r="D564" s="2">
        <v>9.0</v>
      </c>
      <c r="E564" s="2">
        <v>2.0</v>
      </c>
      <c r="F564" s="2">
        <v>0.0</v>
      </c>
      <c r="H564" s="2">
        <v>0.0</v>
      </c>
      <c r="J564" s="3" t="s">
        <v>1918</v>
      </c>
      <c r="K564" s="2" t="s">
        <v>1919</v>
      </c>
      <c r="U564" s="8" t="str">
        <f t="shared" si="1"/>
        <v>CALL InsertOrUpdateProducto('746','Banditas elásticas por 1 kg','Banditas elásticas por 1 kg','9','2','0','','0','','https://img.quodom.com.ar/producto/746.png','Z746','','','','');</v>
      </c>
    </row>
    <row r="565">
      <c r="A565" s="2">
        <v>747.0</v>
      </c>
      <c r="B565" s="2" t="s">
        <v>1920</v>
      </c>
      <c r="C565" s="2" t="s">
        <v>1920</v>
      </c>
      <c r="D565" s="2">
        <v>9.0</v>
      </c>
      <c r="E565" s="2">
        <v>2.0</v>
      </c>
      <c r="F565" s="2">
        <v>0.0</v>
      </c>
      <c r="H565" s="2">
        <v>0.0</v>
      </c>
      <c r="J565" s="3" t="s">
        <v>1921</v>
      </c>
      <c r="K565" s="2" t="s">
        <v>1922</v>
      </c>
      <c r="L565" s="2" t="s">
        <v>581</v>
      </c>
      <c r="U565" s="8" t="str">
        <f t="shared" si="1"/>
        <v>CALL InsertOrUpdateProducto('747','Bibliorato A4','Bibliorato A4','9','2','0','','0','','https://img.quodom.com.ar/producto/747.png','Z747','COLOR','','','');</v>
      </c>
    </row>
    <row r="566">
      <c r="A566" s="2">
        <v>748.0</v>
      </c>
      <c r="B566" s="2" t="s">
        <v>1923</v>
      </c>
      <c r="C566" s="2" t="s">
        <v>1923</v>
      </c>
      <c r="D566" s="2">
        <v>9.0</v>
      </c>
      <c r="E566" s="2">
        <v>2.0</v>
      </c>
      <c r="F566" s="2">
        <v>0.0</v>
      </c>
      <c r="H566" s="2">
        <v>0.0</v>
      </c>
      <c r="J566" s="3" t="s">
        <v>1924</v>
      </c>
      <c r="K566" s="2" t="s">
        <v>1925</v>
      </c>
      <c r="U566" s="8" t="str">
        <f t="shared" si="1"/>
        <v>CALL InsertOrUpdateProducto('748','Cinta transparente 48 mm por 10 unidades','Cinta transparente 48 mm por 10 unidades','9','2','0','','0','','https://img.quodom.com.ar/producto/748.png','Z748','','','','');</v>
      </c>
    </row>
    <row r="567">
      <c r="A567" s="2">
        <v>749.0</v>
      </c>
      <c r="B567" s="2" t="s">
        <v>1926</v>
      </c>
      <c r="C567" s="2" t="s">
        <v>1926</v>
      </c>
      <c r="D567" s="2">
        <v>9.0</v>
      </c>
      <c r="E567" s="2">
        <v>2.0</v>
      </c>
      <c r="F567" s="2">
        <v>0.0</v>
      </c>
      <c r="H567" s="2">
        <v>0.0</v>
      </c>
      <c r="J567" s="3" t="s">
        <v>1927</v>
      </c>
      <c r="K567" s="2" t="s">
        <v>1928</v>
      </c>
      <c r="U567" s="8" t="str">
        <f t="shared" si="1"/>
        <v>CALL InsertOrUpdateProducto('749','Cinta transparente 24 mm por 10 unidades','Cinta transparente 24 mm por 10 unidades','9','2','0','','0','','https://img.quodom.com.ar/producto/749.png','Z749','','','','');</v>
      </c>
    </row>
    <row r="568">
      <c r="A568" s="2">
        <v>750.0</v>
      </c>
      <c r="B568" s="2" t="s">
        <v>1929</v>
      </c>
      <c r="C568" s="2" t="s">
        <v>1929</v>
      </c>
      <c r="D568" s="2">
        <v>9.0</v>
      </c>
      <c r="E568" s="2">
        <v>2.0</v>
      </c>
      <c r="F568" s="2">
        <v>0.0</v>
      </c>
      <c r="H568" s="2">
        <v>0.0</v>
      </c>
      <c r="J568" s="3" t="s">
        <v>1930</v>
      </c>
      <c r="K568" s="2" t="s">
        <v>1931</v>
      </c>
      <c r="L568" s="2" t="s">
        <v>1932</v>
      </c>
      <c r="U568" s="8" t="str">
        <f t="shared" si="1"/>
        <v>CALL InsertOrUpdateProducto('750','Cinta transparente 12 mm por 10 unidades','Cinta transparente 12 mm por 10 unidades','9','2','0','','0','','https://img.quodom.com.ar/producto/750.png','Z750','METROS','','','');</v>
      </c>
    </row>
    <row r="569">
      <c r="A569" s="2">
        <v>751.0</v>
      </c>
      <c r="B569" s="2" t="s">
        <v>1933</v>
      </c>
      <c r="C569" s="2" t="s">
        <v>1933</v>
      </c>
      <c r="D569" s="2">
        <v>9.0</v>
      </c>
      <c r="E569" s="2">
        <v>2.0</v>
      </c>
      <c r="F569" s="2">
        <v>0.0</v>
      </c>
      <c r="H569" s="2">
        <v>0.0</v>
      </c>
      <c r="J569" s="3" t="s">
        <v>1934</v>
      </c>
      <c r="K569" s="2" t="s">
        <v>1935</v>
      </c>
      <c r="U569" s="8" t="str">
        <f t="shared" si="1"/>
        <v>CALL InsertOrUpdateProducto('751','Cinta marrón 48 mm por 10 unidades','Cinta marrón 48 mm por 10 unidades','9','2','0','','0','','https://img.quodom.com.ar/producto/751.png','Z751','','','','');</v>
      </c>
    </row>
    <row r="570">
      <c r="A570" s="2">
        <v>752.0</v>
      </c>
      <c r="B570" s="2" t="s">
        <v>1936</v>
      </c>
      <c r="C570" s="2" t="s">
        <v>1936</v>
      </c>
      <c r="D570" s="2">
        <v>9.0</v>
      </c>
      <c r="E570" s="2">
        <v>2.0</v>
      </c>
      <c r="F570" s="2">
        <v>0.0</v>
      </c>
      <c r="H570" s="2">
        <v>0.0</v>
      </c>
      <c r="J570" s="3" t="s">
        <v>1937</v>
      </c>
      <c r="K570" s="2" t="s">
        <v>1938</v>
      </c>
      <c r="U570" s="8" t="str">
        <f t="shared" si="1"/>
        <v>CALL InsertOrUpdateProducto('752','Cinta silver 48 mm','Cinta silver 48 mm','9','2','0','','0','','https://img.quodom.com.ar/producto/752.png','Z752','','','','');</v>
      </c>
    </row>
    <row r="571">
      <c r="A571" s="2">
        <v>753.0</v>
      </c>
      <c r="B571" s="2" t="s">
        <v>1939</v>
      </c>
      <c r="C571" s="2" t="s">
        <v>1939</v>
      </c>
      <c r="D571" s="2">
        <v>9.0</v>
      </c>
      <c r="E571" s="2">
        <v>2.0</v>
      </c>
      <c r="F571" s="2">
        <v>0.0</v>
      </c>
      <c r="H571" s="2">
        <v>0.0</v>
      </c>
      <c r="J571" s="3" t="s">
        <v>1940</v>
      </c>
      <c r="K571" s="2" t="s">
        <v>1941</v>
      </c>
      <c r="L571" s="2" t="s">
        <v>1942</v>
      </c>
      <c r="U571" s="8" t="str">
        <f t="shared" si="1"/>
        <v>CALL InsertOrUpdateProducto('753','Cinta de papel x 30 mts por 10 unidades','Cinta de papel x 30 mts por 10 unidades','9','2','0','','0','','https://img.quodom.com.ar/producto/753.png','Z753','ESPESOR','','','');</v>
      </c>
    </row>
    <row r="572">
      <c r="A572" s="2">
        <v>754.0</v>
      </c>
      <c r="B572" s="2" t="s">
        <v>1943</v>
      </c>
      <c r="C572" s="2" t="s">
        <v>1943</v>
      </c>
      <c r="D572" s="2">
        <v>10.0</v>
      </c>
      <c r="E572" s="2">
        <v>2.0</v>
      </c>
      <c r="F572" s="2">
        <v>0.0</v>
      </c>
      <c r="H572" s="2">
        <v>0.0</v>
      </c>
      <c r="J572" s="3" t="s">
        <v>1944</v>
      </c>
      <c r="K572" s="2" t="s">
        <v>1945</v>
      </c>
      <c r="L572" s="2" t="s">
        <v>581</v>
      </c>
      <c r="U572" s="8" t="str">
        <f t="shared" si="1"/>
        <v>CALL InsertOrUpdateProducto('754','Lapiceras por 12 unidades','Lapiceras por 12 unidades','10','2','0','','0','','https://img.quodom.com.ar/producto/754.png','Z754','COLOR','','','');</v>
      </c>
    </row>
    <row r="573">
      <c r="A573" s="2">
        <v>755.0</v>
      </c>
      <c r="B573" s="2" t="s">
        <v>1946</v>
      </c>
      <c r="C573" s="2" t="s">
        <v>1946</v>
      </c>
      <c r="D573" s="2">
        <v>10.0</v>
      </c>
      <c r="E573" s="2">
        <v>2.0</v>
      </c>
      <c r="F573" s="2">
        <v>0.0</v>
      </c>
      <c r="H573" s="2">
        <v>0.0</v>
      </c>
      <c r="J573" s="3" t="s">
        <v>1947</v>
      </c>
      <c r="K573" s="2" t="s">
        <v>1948</v>
      </c>
      <c r="L573" s="2" t="s">
        <v>581</v>
      </c>
      <c r="U573" s="8" t="str">
        <f t="shared" si="1"/>
        <v>CALL InsertOrUpdateProducto('755','Lapiceras por 50 unidades','Lapiceras por 50 unidades','10','2','0','','0','','https://img.quodom.com.ar/producto/755.png','Z755','COLOR','','','');</v>
      </c>
    </row>
    <row r="574">
      <c r="A574" s="2">
        <v>756.0</v>
      </c>
      <c r="B574" s="2" t="s">
        <v>1949</v>
      </c>
      <c r="C574" s="2" t="s">
        <v>1949</v>
      </c>
      <c r="D574" s="2">
        <v>10.0</v>
      </c>
      <c r="E574" s="2">
        <v>2.0</v>
      </c>
      <c r="F574" s="2">
        <v>0.0</v>
      </c>
      <c r="H574" s="2">
        <v>0.0</v>
      </c>
      <c r="J574" s="3" t="s">
        <v>1950</v>
      </c>
      <c r="K574" s="2" t="s">
        <v>1951</v>
      </c>
      <c r="L574" s="2" t="s">
        <v>581</v>
      </c>
      <c r="U574" s="8" t="str">
        <f t="shared" si="1"/>
        <v>CALL InsertOrUpdateProducto('756','Resaltador por 10 unidades','Resaltador por 10 unidades','10','2','0','','0','','https://img.quodom.com.ar/producto/756.png','Z756','COLOR','','','');</v>
      </c>
    </row>
    <row r="575">
      <c r="A575" s="2">
        <v>757.0</v>
      </c>
      <c r="B575" s="2" t="s">
        <v>1952</v>
      </c>
      <c r="C575" s="2" t="s">
        <v>1952</v>
      </c>
      <c r="D575" s="2">
        <v>10.0</v>
      </c>
      <c r="E575" s="2">
        <v>2.0</v>
      </c>
      <c r="F575" s="2">
        <v>0.0</v>
      </c>
      <c r="H575" s="2">
        <v>0.0</v>
      </c>
      <c r="J575" s="3" t="s">
        <v>1953</v>
      </c>
      <c r="K575" s="2" t="s">
        <v>1954</v>
      </c>
      <c r="U575" s="8" t="str">
        <f t="shared" si="1"/>
        <v>CALL InsertOrUpdateProducto('757','Lapiz corrector por 24 unidades','Lapiz corrector por 24 unidades','10','2','0','','0','','https://img.quodom.com.ar/producto/757.png','Z757','','','','');</v>
      </c>
    </row>
    <row r="576">
      <c r="A576" s="2">
        <v>758.0</v>
      </c>
      <c r="B576" s="2" t="s">
        <v>1955</v>
      </c>
      <c r="C576" s="2" t="s">
        <v>1955</v>
      </c>
      <c r="D576" s="2">
        <v>10.0</v>
      </c>
      <c r="E576" s="2">
        <v>2.0</v>
      </c>
      <c r="F576" s="2">
        <v>0.0</v>
      </c>
      <c r="H576" s="2">
        <v>0.0</v>
      </c>
      <c r="J576" s="3" t="s">
        <v>1956</v>
      </c>
      <c r="K576" s="2" t="s">
        <v>1957</v>
      </c>
      <c r="U576" s="8" t="str">
        <f t="shared" si="1"/>
        <v>CALL InsertOrUpdateProducto('758','Borratintas por 6 unidades','Borratintas por 6 unidades','10','2','0','','0','','https://img.quodom.com.ar/producto/758.png','Z758','','','','');</v>
      </c>
    </row>
    <row r="577">
      <c r="A577" s="2">
        <v>759.0</v>
      </c>
      <c r="B577" s="2" t="s">
        <v>1958</v>
      </c>
      <c r="C577" s="2" t="s">
        <v>1958</v>
      </c>
      <c r="D577" s="2">
        <v>10.0</v>
      </c>
      <c r="E577" s="2">
        <v>2.0</v>
      </c>
      <c r="F577" s="2">
        <v>0.0</v>
      </c>
      <c r="H577" s="2">
        <v>0.0</v>
      </c>
      <c r="J577" s="3" t="s">
        <v>1959</v>
      </c>
      <c r="K577" s="2" t="s">
        <v>1960</v>
      </c>
      <c r="L577" s="2" t="s">
        <v>581</v>
      </c>
      <c r="U577" s="8" t="str">
        <f t="shared" si="1"/>
        <v>CALL InsertOrUpdateProducto('759','Marcador de pizarra por 12 unidades','Marcador de pizarra por 12 unidades','10','2','0','','0','','https://img.quodom.com.ar/producto/759.png','Z759','COLOR','','','');</v>
      </c>
    </row>
    <row r="578">
      <c r="A578" s="2">
        <v>760.0</v>
      </c>
      <c r="B578" s="2" t="s">
        <v>1961</v>
      </c>
      <c r="C578" s="2" t="s">
        <v>1961</v>
      </c>
      <c r="D578" s="2">
        <v>10.0</v>
      </c>
      <c r="E578" s="2">
        <v>2.0</v>
      </c>
      <c r="F578" s="2">
        <v>0.0</v>
      </c>
      <c r="H578" s="2">
        <v>0.0</v>
      </c>
      <c r="J578" s="3" t="s">
        <v>1962</v>
      </c>
      <c r="K578" s="2" t="s">
        <v>1963</v>
      </c>
      <c r="L578" s="2" t="s">
        <v>581</v>
      </c>
      <c r="U578" s="8" t="str">
        <f t="shared" si="1"/>
        <v>CALL InsertOrUpdateProducto('760','Marcador indeleble por 12 unidades','Marcador indeleble por 12 unidades','10','2','0','','0','','https://img.quodom.com.ar/producto/760.png','Z760','COLOR','','','');</v>
      </c>
    </row>
    <row r="579">
      <c r="A579" s="2">
        <v>761.0</v>
      </c>
      <c r="B579" s="2" t="s">
        <v>1964</v>
      </c>
      <c r="C579" s="2" t="s">
        <v>1964</v>
      </c>
      <c r="D579" s="2">
        <v>10.0</v>
      </c>
      <c r="E579" s="2">
        <v>2.0</v>
      </c>
      <c r="F579" s="2">
        <v>0.0</v>
      </c>
      <c r="H579" s="2">
        <v>0.0</v>
      </c>
      <c r="J579" s="3" t="s">
        <v>1965</v>
      </c>
      <c r="K579" s="2" t="s">
        <v>1966</v>
      </c>
      <c r="U579" s="8" t="str">
        <f t="shared" si="1"/>
        <v>CALL InsertOrUpdateProducto('761','Goma de borrar lápiz por 10 unidades','Goma de borrar lápiz por 10 unidades','10','2','0','','0','','https://img.quodom.com.ar/producto/761.png','Z761','','','','');</v>
      </c>
    </row>
    <row r="580">
      <c r="A580" s="2">
        <v>762.0</v>
      </c>
      <c r="B580" s="2" t="s">
        <v>1967</v>
      </c>
      <c r="C580" s="2" t="s">
        <v>1967</v>
      </c>
      <c r="D580" s="2">
        <v>12.0</v>
      </c>
      <c r="E580" s="2">
        <v>2.0</v>
      </c>
      <c r="F580" s="2">
        <v>0.0</v>
      </c>
      <c r="H580" s="2">
        <v>0.0</v>
      </c>
      <c r="J580" s="3" t="s">
        <v>1968</v>
      </c>
      <c r="K580" s="2" t="s">
        <v>1969</v>
      </c>
      <c r="L580" s="2" t="s">
        <v>581</v>
      </c>
      <c r="U580" s="8" t="str">
        <f t="shared" si="1"/>
        <v>CALL InsertOrUpdateProducto('762','Carpetas escolares A3','Carpetas escolares A3','12','2','0','','0','','https://img.quodom.com.ar/producto/762.png','Z762','COLOR','','','');</v>
      </c>
    </row>
    <row r="581">
      <c r="A581" s="2">
        <v>763.0</v>
      </c>
      <c r="B581" s="2" t="s">
        <v>1970</v>
      </c>
      <c r="C581" s="2" t="s">
        <v>1970</v>
      </c>
      <c r="D581" s="2">
        <v>12.0</v>
      </c>
      <c r="E581" s="2">
        <v>2.0</v>
      </c>
      <c r="F581" s="2">
        <v>0.0</v>
      </c>
      <c r="H581" s="2">
        <v>0.0</v>
      </c>
      <c r="J581" s="3" t="s">
        <v>1971</v>
      </c>
      <c r="K581" s="2" t="s">
        <v>1972</v>
      </c>
      <c r="L581" s="2" t="s">
        <v>581</v>
      </c>
      <c r="U581" s="8" t="str">
        <f t="shared" si="1"/>
        <v>CALL InsertOrUpdateProducto('763','Carpetas A4','Carpetas A4','12','2','0','','0','','https://img.quodom.com.ar/producto/763.png','Z763','COLOR','','','');</v>
      </c>
    </row>
    <row r="582">
      <c r="A582" s="2">
        <v>764.0</v>
      </c>
      <c r="B582" s="2" t="s">
        <v>1973</v>
      </c>
      <c r="C582" s="2" t="s">
        <v>1973</v>
      </c>
      <c r="D582" s="2">
        <v>12.0</v>
      </c>
      <c r="E582" s="2">
        <v>2.0</v>
      </c>
      <c r="F582" s="2">
        <v>0.0</v>
      </c>
      <c r="H582" s="2">
        <v>0.0</v>
      </c>
      <c r="J582" s="3" t="s">
        <v>1974</v>
      </c>
      <c r="K582" s="2" t="s">
        <v>1975</v>
      </c>
      <c r="L582" s="2" t="s">
        <v>581</v>
      </c>
      <c r="U582" s="8" t="str">
        <f t="shared" si="1"/>
        <v>CALL InsertOrUpdateProducto('764','Carpeta Cristal por 12 unidades','Carpeta Cristal por 12 unidades','12','2','0','','0','','https://img.quodom.com.ar/producto/764.png','Z764','COLOR','','','');</v>
      </c>
    </row>
    <row r="583">
      <c r="A583" s="2">
        <v>765.0</v>
      </c>
      <c r="B583" s="2" t="s">
        <v>1976</v>
      </c>
      <c r="C583" s="2" t="s">
        <v>1976</v>
      </c>
      <c r="D583" s="2">
        <v>12.0</v>
      </c>
      <c r="E583" s="2">
        <v>2.0</v>
      </c>
      <c r="F583" s="2">
        <v>0.0</v>
      </c>
      <c r="H583" s="2">
        <v>0.0</v>
      </c>
      <c r="J583" s="3" t="s">
        <v>1977</v>
      </c>
      <c r="K583" s="2" t="s">
        <v>1978</v>
      </c>
      <c r="L583" s="2" t="s">
        <v>581</v>
      </c>
      <c r="M583" s="2" t="s">
        <v>259</v>
      </c>
      <c r="U583" s="8" t="str">
        <f t="shared" si="1"/>
        <v>CALL InsertOrUpdateProducto('765','Cuaderno escolar 48 hojas','Cuaderno escolar 48 hojas','12','2','0','','0','','https://img.quodom.com.ar/producto/765.png','Z765','COLOR','TIPO','','');</v>
      </c>
    </row>
    <row r="584">
      <c r="A584" s="2">
        <v>766.0</v>
      </c>
      <c r="B584" s="2" t="s">
        <v>1979</v>
      </c>
      <c r="C584" s="2" t="s">
        <v>1979</v>
      </c>
      <c r="D584" s="2">
        <v>12.0</v>
      </c>
      <c r="E584" s="2">
        <v>2.0</v>
      </c>
      <c r="F584" s="2">
        <v>0.0</v>
      </c>
      <c r="H584" s="2">
        <v>0.0</v>
      </c>
      <c r="J584" s="3" t="s">
        <v>1980</v>
      </c>
      <c r="K584" s="2" t="s">
        <v>1981</v>
      </c>
      <c r="L584" s="2" t="s">
        <v>259</v>
      </c>
      <c r="U584" s="8" t="str">
        <f t="shared" si="1"/>
        <v>CALL InsertOrUpdateProducto('766','Cuaderno universitario 48 hojas','Cuaderno universitario 48 hojas','12','2','0','','0','','https://img.quodom.com.ar/producto/766.png','Z766','TIPO','','','');</v>
      </c>
    </row>
    <row r="585">
      <c r="A585" s="2">
        <v>767.0</v>
      </c>
      <c r="B585" s="2" t="s">
        <v>1982</v>
      </c>
      <c r="C585" s="2" t="s">
        <v>1982</v>
      </c>
      <c r="D585" s="2">
        <v>12.0</v>
      </c>
      <c r="E585" s="2">
        <v>2.0</v>
      </c>
      <c r="F585" s="2">
        <v>0.0</v>
      </c>
      <c r="H585" s="2">
        <v>0.0</v>
      </c>
      <c r="J585" s="3" t="s">
        <v>1983</v>
      </c>
      <c r="K585" s="2" t="s">
        <v>1984</v>
      </c>
      <c r="L585" s="2" t="s">
        <v>259</v>
      </c>
      <c r="U585" s="8" t="str">
        <f t="shared" si="1"/>
        <v>CALL InsertOrUpdateProducto('767','Repuesto 480 hojas N°3','Repuesto 480 hojas N°3','12','2','0','','0','','https://img.quodom.com.ar/producto/767.png','Z767','TIPO','','','');</v>
      </c>
    </row>
    <row r="586">
      <c r="A586" s="2">
        <v>768.0</v>
      </c>
      <c r="B586" s="2" t="s">
        <v>1985</v>
      </c>
      <c r="C586" s="2" t="s">
        <v>1985</v>
      </c>
      <c r="D586" s="2">
        <v>12.0</v>
      </c>
      <c r="E586" s="2">
        <v>2.0</v>
      </c>
      <c r="F586" s="2">
        <v>0.0</v>
      </c>
      <c r="H586" s="2">
        <v>0.0</v>
      </c>
      <c r="J586" s="3" t="s">
        <v>1986</v>
      </c>
      <c r="K586" s="2" t="s">
        <v>1987</v>
      </c>
      <c r="L586" s="2" t="s">
        <v>259</v>
      </c>
      <c r="U586" s="8" t="str">
        <f t="shared" si="1"/>
        <v>CALL InsertOrUpdateProducto('768','Block por 80 hojas','Block por 80 hojas','12','2','0','','0','','https://img.quodom.com.ar/producto/768.png','Z768','TIPO','','','');</v>
      </c>
    </row>
    <row r="587">
      <c r="A587" s="2">
        <v>769.0</v>
      </c>
      <c r="B587" s="2" t="s">
        <v>1988</v>
      </c>
      <c r="C587" s="2" t="s">
        <v>1988</v>
      </c>
      <c r="D587" s="2">
        <v>13.0</v>
      </c>
      <c r="E587" s="2">
        <v>2.0</v>
      </c>
      <c r="F587" s="2">
        <v>0.0</v>
      </c>
      <c r="H587" s="2">
        <v>0.0</v>
      </c>
      <c r="J587" s="3" t="s">
        <v>1989</v>
      </c>
      <c r="K587" s="2" t="s">
        <v>1990</v>
      </c>
      <c r="U587" s="8" t="str">
        <f t="shared" si="1"/>
        <v>CALL InsertOrUpdateProducto('769','Plasticola 40 gramos por 12 unidades','Plasticola 40 gramos por 12 unidades','13','2','0','','0','','https://img.quodom.com.ar/producto/769.png','Z769','','','','');</v>
      </c>
    </row>
    <row r="588">
      <c r="A588" s="2">
        <v>770.0</v>
      </c>
      <c r="B588" s="2" t="s">
        <v>1991</v>
      </c>
      <c r="C588" s="2" t="s">
        <v>1991</v>
      </c>
      <c r="D588" s="2">
        <v>13.0</v>
      </c>
      <c r="E588" s="2">
        <v>2.0</v>
      </c>
      <c r="F588" s="2">
        <v>0.0</v>
      </c>
      <c r="H588" s="2">
        <v>0.0</v>
      </c>
      <c r="J588" s="3" t="s">
        <v>1992</v>
      </c>
      <c r="K588" s="2" t="s">
        <v>1993</v>
      </c>
      <c r="L588" s="2" t="s">
        <v>259</v>
      </c>
      <c r="U588" s="8" t="str">
        <f t="shared" si="1"/>
        <v>CALL InsertOrUpdateProducto('770','Tijera','Tijera','13','2','0','','0','','https://img.quodom.com.ar/producto/770.png','Z770','TIPO','','','');</v>
      </c>
    </row>
    <row r="589">
      <c r="A589" s="2">
        <v>771.0</v>
      </c>
      <c r="B589" s="2" t="s">
        <v>1994</v>
      </c>
      <c r="C589" s="2" t="s">
        <v>1994</v>
      </c>
      <c r="D589" s="2">
        <v>13.0</v>
      </c>
      <c r="E589" s="2">
        <v>2.0</v>
      </c>
      <c r="F589" s="2">
        <v>0.0</v>
      </c>
      <c r="H589" s="2">
        <v>0.0</v>
      </c>
      <c r="J589" s="3" t="s">
        <v>1995</v>
      </c>
      <c r="K589" s="2" t="s">
        <v>1996</v>
      </c>
      <c r="U589" s="8" t="str">
        <f t="shared" si="1"/>
        <v>CALL InsertOrUpdateProducto('771','Regla','Regla','13','2','0','','0','','https://img.quodom.com.ar/producto/771.png','Z771','','','','');</v>
      </c>
    </row>
    <row r="590">
      <c r="A590" s="2">
        <v>772.0</v>
      </c>
      <c r="B590" s="2" t="s">
        <v>1997</v>
      </c>
      <c r="C590" s="2" t="s">
        <v>1997</v>
      </c>
      <c r="D590" s="2">
        <v>13.0</v>
      </c>
      <c r="E590" s="2">
        <v>2.0</v>
      </c>
      <c r="F590" s="2">
        <v>0.0</v>
      </c>
      <c r="H590" s="2">
        <v>0.0</v>
      </c>
      <c r="J590" s="3" t="s">
        <v>1998</v>
      </c>
      <c r="K590" s="2" t="s">
        <v>1999</v>
      </c>
      <c r="L590" s="2" t="s">
        <v>581</v>
      </c>
      <c r="U590" s="8" t="str">
        <f t="shared" si="1"/>
        <v>CALL InsertOrUpdateProducto('772','Cartulina 45 cm x 63 cm por 20 unidades','Cartulina 45 cm x 63 cm por 20 unidades','13','2','0','','0','','https://img.quodom.com.ar/producto/772.png','Z772','COLOR','','','');</v>
      </c>
    </row>
    <row r="591">
      <c r="A591" s="2">
        <v>773.0</v>
      </c>
      <c r="B591" s="2" t="s">
        <v>2000</v>
      </c>
      <c r="C591" s="2" t="s">
        <v>2000</v>
      </c>
      <c r="D591" s="2">
        <v>13.0</v>
      </c>
      <c r="E591" s="2">
        <v>2.0</v>
      </c>
      <c r="F591" s="2">
        <v>0.0</v>
      </c>
      <c r="H591" s="2">
        <v>0.0</v>
      </c>
      <c r="J591" s="3" t="s">
        <v>2001</v>
      </c>
      <c r="K591" s="2" t="s">
        <v>2002</v>
      </c>
      <c r="L591" s="2" t="s">
        <v>581</v>
      </c>
      <c r="U591" s="8" t="str">
        <f t="shared" si="1"/>
        <v>CALL InsertOrUpdateProducto('773','Tempera 250 gr','Tempera 250 gr','13','2','0','','0','','https://img.quodom.com.ar/producto/773.png','Z773','COLOR','','','');</v>
      </c>
    </row>
    <row r="592">
      <c r="A592" s="2">
        <v>779.0</v>
      </c>
      <c r="B592" s="2" t="s">
        <v>2003</v>
      </c>
      <c r="C592" s="2" t="s">
        <v>2003</v>
      </c>
      <c r="D592" s="2">
        <v>36.0</v>
      </c>
      <c r="E592" s="2">
        <v>5.0</v>
      </c>
      <c r="F592" s="2">
        <v>0.0</v>
      </c>
      <c r="H592" s="2">
        <v>0.0</v>
      </c>
      <c r="J592" s="3" t="s">
        <v>2004</v>
      </c>
      <c r="K592" s="2" t="s">
        <v>2005</v>
      </c>
      <c r="L592" s="2" t="s">
        <v>581</v>
      </c>
      <c r="M592" s="2" t="s">
        <v>540</v>
      </c>
      <c r="U592" s="8" t="str">
        <f t="shared" si="1"/>
        <v>CALL InsertOrUpdateProducto('779','Esmalte Sintético Mate','Esmalte Sintético Mate','36','5','0','','0','','https://img.quodom.com.ar/producto/779.png','Z779','COLOR','LITROS','','');</v>
      </c>
    </row>
    <row r="593">
      <c r="A593" s="2">
        <v>780.0</v>
      </c>
      <c r="B593" s="2" t="s">
        <v>2006</v>
      </c>
      <c r="C593" s="2" t="s">
        <v>2006</v>
      </c>
      <c r="D593" s="2">
        <v>36.0</v>
      </c>
      <c r="E593" s="2">
        <v>5.0</v>
      </c>
      <c r="F593" s="2">
        <v>0.0</v>
      </c>
      <c r="H593" s="2">
        <v>0.0</v>
      </c>
      <c r="J593" s="3" t="s">
        <v>2007</v>
      </c>
      <c r="K593" s="2" t="s">
        <v>2008</v>
      </c>
      <c r="L593" s="2" t="s">
        <v>581</v>
      </c>
      <c r="M593" s="2" t="s">
        <v>540</v>
      </c>
      <c r="U593" s="8" t="str">
        <f t="shared" si="1"/>
        <v>CALL InsertOrUpdateProducto('780','Esmalte Sintético Brillante','Esmalte Sintético Brillante','36','5','0','','0','','https://img.quodom.com.ar/producto/780.png','Z780','COLOR','LITROS','','');</v>
      </c>
    </row>
    <row r="594">
      <c r="A594" s="2">
        <v>781.0</v>
      </c>
      <c r="B594" s="2" t="s">
        <v>2009</v>
      </c>
      <c r="C594" s="2" t="s">
        <v>2009</v>
      </c>
      <c r="D594" s="2">
        <v>35.0</v>
      </c>
      <c r="E594" s="2">
        <v>5.0</v>
      </c>
      <c r="F594" s="2">
        <v>0.0</v>
      </c>
      <c r="H594" s="2">
        <v>0.0</v>
      </c>
      <c r="J594" s="3" t="s">
        <v>2010</v>
      </c>
      <c r="K594" s="2" t="s">
        <v>2011</v>
      </c>
      <c r="L594" s="2" t="s">
        <v>581</v>
      </c>
      <c r="M594" s="2" t="s">
        <v>540</v>
      </c>
      <c r="U594" s="8" t="str">
        <f t="shared" si="1"/>
        <v>CALL InsertOrUpdateProducto('781','Impermeabilizante Tradicional Sinteplast','Impermeabilizante Tradicional Sinteplast','35','5','0','','0','','https://img.quodom.com.ar/producto/781.png','Z781','COLOR','LITROS','','');</v>
      </c>
    </row>
    <row r="595">
      <c r="A595" s="2">
        <v>782.0</v>
      </c>
      <c r="B595" s="2" t="s">
        <v>2012</v>
      </c>
      <c r="C595" s="2" t="s">
        <v>2012</v>
      </c>
      <c r="D595" s="2">
        <v>35.0</v>
      </c>
      <c r="E595" s="2">
        <v>5.0</v>
      </c>
      <c r="F595" s="2">
        <v>0.0</v>
      </c>
      <c r="H595" s="2">
        <v>0.0</v>
      </c>
      <c r="J595" s="3" t="s">
        <v>2013</v>
      </c>
      <c r="K595" s="2" t="s">
        <v>2014</v>
      </c>
      <c r="L595" s="2" t="s">
        <v>540</v>
      </c>
      <c r="M595" s="2" t="s">
        <v>559</v>
      </c>
      <c r="U595" s="8" t="str">
        <f t="shared" si="1"/>
        <v>CALL InsertOrUpdateProducto('782','Impermeabilizante Ladrillos Cerámico','Impermeabilizante Ladrillos Cerámico','35','5','0','','0','','https://img.quodom.com.ar/producto/782.png','Z782','LITROS','MARCA','','');</v>
      </c>
    </row>
    <row r="596">
      <c r="A596" s="2">
        <v>783.0</v>
      </c>
      <c r="B596" s="2" t="s">
        <v>2015</v>
      </c>
      <c r="C596" s="2" t="s">
        <v>2015</v>
      </c>
      <c r="D596" s="2">
        <v>35.0</v>
      </c>
      <c r="E596" s="2">
        <v>5.0</v>
      </c>
      <c r="F596" s="2">
        <v>0.0</v>
      </c>
      <c r="H596" s="2">
        <v>0.0</v>
      </c>
      <c r="J596" s="3" t="s">
        <v>2016</v>
      </c>
      <c r="K596" s="2" t="s">
        <v>2017</v>
      </c>
      <c r="L596" s="2" t="s">
        <v>540</v>
      </c>
      <c r="M596" s="2" t="s">
        <v>559</v>
      </c>
      <c r="U596" s="8" t="str">
        <f t="shared" si="1"/>
        <v>CALL InsertOrUpdateProducto('783','Impermeabilizante Ladrillos Natural','Impermeabilizante Ladrillos Natural','35','5','0','','0','','https://img.quodom.com.ar/producto/783.png','Z783','LITROS','MARCA','','');</v>
      </c>
    </row>
    <row r="597">
      <c r="A597" s="2">
        <v>784.0</v>
      </c>
      <c r="B597" s="2" t="s">
        <v>2018</v>
      </c>
      <c r="C597" s="2" t="s">
        <v>2018</v>
      </c>
      <c r="D597" s="2">
        <v>35.0</v>
      </c>
      <c r="E597" s="2">
        <v>5.0</v>
      </c>
      <c r="F597" s="2">
        <v>0.0</v>
      </c>
      <c r="H597" s="2">
        <v>0.0</v>
      </c>
      <c r="J597" s="3" t="s">
        <v>2019</v>
      </c>
      <c r="K597" s="2" t="s">
        <v>2020</v>
      </c>
      <c r="L597" s="2" t="s">
        <v>540</v>
      </c>
      <c r="M597" s="2" t="s">
        <v>559</v>
      </c>
      <c r="U597" s="8" t="str">
        <f t="shared" si="1"/>
        <v>CALL InsertOrUpdateProducto('784','Piscinas base acuosa Blanco','Piscinas base acuosa Blanco','35','5','0','','0','','https://img.quodom.com.ar/producto/784.png','Z784','LITROS','MARCA','','');</v>
      </c>
    </row>
    <row r="598">
      <c r="A598" s="2">
        <v>785.0</v>
      </c>
      <c r="B598" s="2" t="s">
        <v>2021</v>
      </c>
      <c r="C598" s="2" t="s">
        <v>2021</v>
      </c>
      <c r="D598" s="2">
        <v>35.0</v>
      </c>
      <c r="E598" s="2">
        <v>5.0</v>
      </c>
      <c r="F598" s="2">
        <v>0.0</v>
      </c>
      <c r="H598" s="2">
        <v>0.0</v>
      </c>
      <c r="J598" s="3" t="s">
        <v>2022</v>
      </c>
      <c r="K598" s="2" t="s">
        <v>2023</v>
      </c>
      <c r="L598" s="2" t="s">
        <v>540</v>
      </c>
      <c r="M598" s="2" t="s">
        <v>559</v>
      </c>
      <c r="U598" s="8" t="str">
        <f t="shared" si="1"/>
        <v>CALL InsertOrUpdateProducto('785','Piscinas base acuosa Celeste','Piscinas base acuosa Celeste','35','5','0','','0','','https://img.quodom.com.ar/producto/785.png','Z785','LITROS','MARCA','','');</v>
      </c>
    </row>
    <row r="599">
      <c r="A599" s="2">
        <v>786.0</v>
      </c>
      <c r="B599" s="2" t="s">
        <v>2024</v>
      </c>
      <c r="C599" s="2" t="s">
        <v>2024</v>
      </c>
      <c r="D599" s="2">
        <v>35.0</v>
      </c>
      <c r="E599" s="2">
        <v>5.0</v>
      </c>
      <c r="F599" s="2">
        <v>0.0</v>
      </c>
      <c r="H599" s="2">
        <v>0.0</v>
      </c>
      <c r="J599" s="3" t="s">
        <v>2025</v>
      </c>
      <c r="K599" s="2" t="s">
        <v>2026</v>
      </c>
      <c r="L599" s="2" t="s">
        <v>540</v>
      </c>
      <c r="M599" s="2" t="s">
        <v>559</v>
      </c>
      <c r="U599" s="8" t="str">
        <f t="shared" si="1"/>
        <v>CALL InsertOrUpdateProducto('786','Piscinas base acuosa Azul Profundo','Piscinas base acuosa Azul Profundo','35','5','0','','0','','https://img.quodom.com.ar/producto/786.png','Z786','LITROS','MARCA','','');</v>
      </c>
    </row>
    <row r="600">
      <c r="A600" s="2">
        <v>787.0</v>
      </c>
      <c r="B600" s="2" t="s">
        <v>2027</v>
      </c>
      <c r="C600" s="2" t="s">
        <v>2027</v>
      </c>
      <c r="D600" s="2">
        <v>35.0</v>
      </c>
      <c r="E600" s="2">
        <v>5.0</v>
      </c>
      <c r="F600" s="2">
        <v>0.0</v>
      </c>
      <c r="H600" s="2">
        <v>0.0</v>
      </c>
      <c r="J600" s="3" t="s">
        <v>2028</v>
      </c>
      <c r="K600" s="2" t="s">
        <v>2029</v>
      </c>
      <c r="L600" s="2" t="s">
        <v>540</v>
      </c>
      <c r="M600" s="2" t="s">
        <v>559</v>
      </c>
      <c r="U600" s="8" t="str">
        <f t="shared" si="1"/>
        <v>CALL InsertOrUpdateProducto('787','Piscinas base solvente Blanco','Piscinas base solvente Blanco','35','5','0','','0','','https://img.quodom.com.ar/producto/787.png','Z787','LITROS','MARCA','','');</v>
      </c>
    </row>
    <row r="601">
      <c r="A601" s="2">
        <v>788.0</v>
      </c>
      <c r="B601" s="2" t="s">
        <v>2030</v>
      </c>
      <c r="C601" s="2" t="s">
        <v>2030</v>
      </c>
      <c r="D601" s="2">
        <v>35.0</v>
      </c>
      <c r="E601" s="2">
        <v>5.0</v>
      </c>
      <c r="F601" s="2">
        <v>0.0</v>
      </c>
      <c r="H601" s="2">
        <v>0.0</v>
      </c>
      <c r="J601" s="3" t="s">
        <v>2031</v>
      </c>
      <c r="K601" s="2" t="s">
        <v>2032</v>
      </c>
      <c r="L601" s="2" t="s">
        <v>540</v>
      </c>
      <c r="M601" s="2" t="s">
        <v>559</v>
      </c>
      <c r="U601" s="8" t="str">
        <f t="shared" si="1"/>
        <v>CALL InsertOrUpdateProducto('788','Piscinas base solvente Celeste','Piscinas base solvente Celeste','35','5','0','','0','','https://img.quodom.com.ar/producto/788.png','Z788','LITROS','MARCA','','');</v>
      </c>
    </row>
    <row r="602">
      <c r="A602" s="2">
        <v>789.0</v>
      </c>
      <c r="B602" s="2" t="s">
        <v>2033</v>
      </c>
      <c r="C602" s="2" t="s">
        <v>2033</v>
      </c>
      <c r="D602" s="2">
        <v>35.0</v>
      </c>
      <c r="E602" s="2">
        <v>5.0</v>
      </c>
      <c r="F602" s="2">
        <v>0.0</v>
      </c>
      <c r="H602" s="2">
        <v>0.0</v>
      </c>
      <c r="J602" s="3" t="s">
        <v>2034</v>
      </c>
      <c r="K602" s="2" t="s">
        <v>2035</v>
      </c>
      <c r="L602" s="2" t="s">
        <v>540</v>
      </c>
      <c r="M602" s="2" t="s">
        <v>559</v>
      </c>
      <c r="U602" s="8" t="str">
        <f t="shared" si="1"/>
        <v>CALL InsertOrUpdateProducto('789','Piscinas base solvente Azul Profundo','Piscinas base solvente Azul Profundo','35','5','0','','0','','https://img.quodom.com.ar/producto/789.png','Z789','LITROS','MARCA','','');</v>
      </c>
    </row>
    <row r="603">
      <c r="A603" s="2">
        <v>790.0</v>
      </c>
      <c r="B603" s="2" t="s">
        <v>2036</v>
      </c>
      <c r="C603" s="2" t="s">
        <v>2036</v>
      </c>
      <c r="D603" s="2">
        <v>35.0</v>
      </c>
      <c r="E603" s="2">
        <v>5.0</v>
      </c>
      <c r="F603" s="2">
        <v>0.0</v>
      </c>
      <c r="H603" s="2">
        <v>0.0</v>
      </c>
      <c r="J603" s="3" t="s">
        <v>2037</v>
      </c>
      <c r="K603" s="2" t="s">
        <v>2038</v>
      </c>
      <c r="L603" s="2" t="s">
        <v>540</v>
      </c>
      <c r="M603" s="2" t="s">
        <v>559</v>
      </c>
      <c r="U603" s="8" t="str">
        <f t="shared" si="1"/>
        <v>CALL InsertOrUpdateProducto('790','Piscinas fibra de vidrio Celeste','Piscinas fibra de vidrio Celeste','35','5','0','','0','','https://img.quodom.com.ar/producto/790.png','Z790','LITROS','MARCA','','');</v>
      </c>
    </row>
    <row r="604">
      <c r="A604" s="2">
        <v>791.0</v>
      </c>
      <c r="B604" s="2" t="s">
        <v>2039</v>
      </c>
      <c r="C604" s="2" t="s">
        <v>2039</v>
      </c>
      <c r="D604" s="2">
        <v>35.0</v>
      </c>
      <c r="E604" s="2">
        <v>5.0</v>
      </c>
      <c r="F604" s="2">
        <v>0.0</v>
      </c>
      <c r="H604" s="2">
        <v>0.0</v>
      </c>
      <c r="J604" s="3" t="s">
        <v>2040</v>
      </c>
      <c r="K604" s="2" t="s">
        <v>2041</v>
      </c>
      <c r="L604" s="2" t="s">
        <v>540</v>
      </c>
      <c r="M604" s="2" t="s">
        <v>559</v>
      </c>
      <c r="U604" s="8" t="str">
        <f t="shared" si="1"/>
        <v>CALL InsertOrUpdateProducto('791','Piscinas fibra de vidrio Azul Profundo','Piscinas fibra de vidrio Azul Profundo','35','5','0','','0','','https://img.quodom.com.ar/producto/791.png','Z791','LITROS','MARCA','','');</v>
      </c>
    </row>
    <row r="605">
      <c r="A605" s="2">
        <v>792.0</v>
      </c>
      <c r="B605" s="2" t="s">
        <v>2042</v>
      </c>
      <c r="C605" s="2" t="s">
        <v>2042</v>
      </c>
      <c r="D605" s="2">
        <v>36.0</v>
      </c>
      <c r="E605" s="2">
        <v>5.0</v>
      </c>
      <c r="F605" s="2">
        <v>0.0</v>
      </c>
      <c r="H605" s="2">
        <v>0.0</v>
      </c>
      <c r="J605" s="3" t="s">
        <v>2043</v>
      </c>
      <c r="K605" s="2" t="s">
        <v>2044</v>
      </c>
      <c r="L605" s="2" t="s">
        <v>581</v>
      </c>
      <c r="M605" s="2" t="s">
        <v>540</v>
      </c>
      <c r="U605" s="8" t="str">
        <f t="shared" si="1"/>
        <v>CALL InsertOrUpdateProducto('792','Esmalte Sintético Satinado','Esmalte Sintético Satinado','36','5','0','','0','','https://img.quodom.com.ar/producto/792.png','Z792','COLOR','LITROS','','');</v>
      </c>
    </row>
    <row r="606">
      <c r="A606" s="2">
        <v>793.0</v>
      </c>
      <c r="B606" s="2" t="s">
        <v>2045</v>
      </c>
      <c r="C606" s="2" t="s">
        <v>2045</v>
      </c>
      <c r="D606" s="2">
        <v>36.0</v>
      </c>
      <c r="E606" s="2">
        <v>5.0</v>
      </c>
      <c r="F606" s="2">
        <v>0.0</v>
      </c>
      <c r="H606" s="2">
        <v>0.0</v>
      </c>
      <c r="J606" s="3" t="s">
        <v>2046</v>
      </c>
      <c r="K606" s="2" t="s">
        <v>2047</v>
      </c>
      <c r="L606" s="2" t="s">
        <v>581</v>
      </c>
      <c r="M606" s="2" t="s">
        <v>540</v>
      </c>
      <c r="U606" s="8" t="str">
        <f t="shared" si="1"/>
        <v>CALL InsertOrUpdateProducto('793','Esmalte al agua Satinado','Esmalte al agua Satinado','36','5','0','','0','','https://img.quodom.com.ar/producto/793.png','Z793','COLOR','LITROS','','');</v>
      </c>
    </row>
    <row r="607">
      <c r="A607" s="2">
        <v>794.0</v>
      </c>
      <c r="B607" s="2" t="s">
        <v>2048</v>
      </c>
      <c r="C607" s="2" t="s">
        <v>2048</v>
      </c>
      <c r="D607" s="2">
        <v>36.0</v>
      </c>
      <c r="E607" s="2">
        <v>5.0</v>
      </c>
      <c r="F607" s="2">
        <v>0.0</v>
      </c>
      <c r="H607" s="2">
        <v>0.0</v>
      </c>
      <c r="J607" s="3" t="s">
        <v>2049</v>
      </c>
      <c r="K607" s="2" t="s">
        <v>2050</v>
      </c>
      <c r="L607" s="2" t="s">
        <v>581</v>
      </c>
      <c r="M607" s="2" t="s">
        <v>540</v>
      </c>
      <c r="U607" s="8" t="str">
        <f t="shared" si="1"/>
        <v>CALL InsertOrUpdateProducto('794','Esmalte al agua Mate','Esmalte al agua Mate','36','5','0','','0','','https://img.quodom.com.ar/producto/794.png','Z794','COLOR','LITROS','','');</v>
      </c>
    </row>
    <row r="608">
      <c r="A608" s="2">
        <v>795.0</v>
      </c>
      <c r="B608" s="2" t="s">
        <v>2051</v>
      </c>
      <c r="C608" s="2" t="s">
        <v>2051</v>
      </c>
      <c r="D608" s="2">
        <v>36.0</v>
      </c>
      <c r="E608" s="2">
        <v>5.0</v>
      </c>
      <c r="F608" s="2">
        <v>0.0</v>
      </c>
      <c r="H608" s="2">
        <v>0.0</v>
      </c>
      <c r="J608" s="3" t="s">
        <v>2052</v>
      </c>
      <c r="K608" s="2" t="s">
        <v>2053</v>
      </c>
      <c r="L608" s="2" t="s">
        <v>581</v>
      </c>
      <c r="M608" s="2" t="s">
        <v>540</v>
      </c>
      <c r="U608" s="8" t="str">
        <f t="shared" si="1"/>
        <v>CALL InsertOrUpdateProducto('795','Convertidor Satinado','Convertidor Satinado','36','5','0','','0','','https://img.quodom.com.ar/producto/795.png','Z795','COLOR','LITROS','','');</v>
      </c>
    </row>
    <row r="609">
      <c r="A609" s="2">
        <v>796.0</v>
      </c>
      <c r="B609" s="2" t="s">
        <v>2054</v>
      </c>
      <c r="C609" s="2" t="s">
        <v>2054</v>
      </c>
      <c r="D609" s="2">
        <v>36.0</v>
      </c>
      <c r="E609" s="2">
        <v>5.0</v>
      </c>
      <c r="F609" s="2">
        <v>0.0</v>
      </c>
      <c r="H609" s="2">
        <v>0.0</v>
      </c>
      <c r="J609" s="3" t="s">
        <v>2055</v>
      </c>
      <c r="K609" s="2" t="s">
        <v>2056</v>
      </c>
      <c r="L609" s="2" t="s">
        <v>581</v>
      </c>
      <c r="M609" s="2" t="s">
        <v>540</v>
      </c>
      <c r="U609" s="8" t="str">
        <f t="shared" si="1"/>
        <v>CALL InsertOrUpdateProducto('796','Convertidor Mate','Convertidor Mate','36','5','0','','0','','https://img.quodom.com.ar/producto/796.png','Z796','COLOR','LITROS','','');</v>
      </c>
    </row>
    <row r="610">
      <c r="A610" s="2">
        <v>797.0</v>
      </c>
      <c r="B610" s="2" t="s">
        <v>2057</v>
      </c>
      <c r="C610" s="2" t="s">
        <v>2057</v>
      </c>
      <c r="D610" s="2">
        <v>36.0</v>
      </c>
      <c r="E610" s="2">
        <v>5.0</v>
      </c>
      <c r="F610" s="2">
        <v>0.0</v>
      </c>
      <c r="H610" s="2">
        <v>0.0</v>
      </c>
      <c r="J610" s="3" t="s">
        <v>2058</v>
      </c>
      <c r="K610" s="2" t="s">
        <v>2059</v>
      </c>
      <c r="L610" s="2" t="s">
        <v>581</v>
      </c>
      <c r="M610" s="2" t="s">
        <v>540</v>
      </c>
      <c r="U610" s="8" t="str">
        <f t="shared" si="1"/>
        <v>CALL InsertOrUpdateProducto('797','Pisos alto tránsito','Pisos alto tránsito','36','5','0','','0','','https://img.quodom.com.ar/producto/797.png','Z797','COLOR','LITROS','','');</v>
      </c>
    </row>
    <row r="611">
      <c r="A611" s="2">
        <v>798.0</v>
      </c>
      <c r="B611" s="2" t="s">
        <v>2060</v>
      </c>
      <c r="C611" s="2" t="s">
        <v>2060</v>
      </c>
      <c r="D611" s="2">
        <v>39.0</v>
      </c>
      <c r="E611" s="2">
        <v>5.0</v>
      </c>
      <c r="F611" s="2">
        <v>0.0</v>
      </c>
      <c r="H611" s="2">
        <v>0.0</v>
      </c>
      <c r="J611" s="3" t="s">
        <v>671</v>
      </c>
      <c r="K611" s="2" t="s">
        <v>2061</v>
      </c>
      <c r="L611" s="2" t="s">
        <v>673</v>
      </c>
      <c r="U611" s="8" t="str">
        <f t="shared" si="1"/>
        <v>CALL InsertOrUpdateProducto('798','Lijas para madera por 10 unidades','Lijas para madera por 10 unidades','39','5','0','','0','','https://img.quodom.com.ar/producto/188.png','Z798','GRANO','','','');</v>
      </c>
    </row>
    <row r="612">
      <c r="A612" s="2">
        <v>799.0</v>
      </c>
      <c r="B612" s="2" t="s">
        <v>2062</v>
      </c>
      <c r="C612" s="2" t="s">
        <v>2062</v>
      </c>
      <c r="D612" s="2">
        <v>40.0</v>
      </c>
      <c r="E612" s="2">
        <v>5.0</v>
      </c>
      <c r="F612" s="2">
        <v>0.0</v>
      </c>
      <c r="H612" s="2">
        <v>0.0</v>
      </c>
      <c r="J612" s="3" t="s">
        <v>2063</v>
      </c>
      <c r="K612" s="2" t="s">
        <v>2064</v>
      </c>
      <c r="U612" s="8" t="str">
        <f t="shared" si="1"/>
        <v>CALL InsertOrUpdateProducto('799','Masilla para aluminio por 1 kg','Masilla para aluminio por 1 kg','40','5','0','','0','','https://img.quodom.com.ar/producto/799.png','Z799','','','','');</v>
      </c>
    </row>
    <row r="613">
      <c r="A613" s="13">
        <v>800.0</v>
      </c>
      <c r="B613" s="13" t="s">
        <v>2065</v>
      </c>
      <c r="C613" s="13" t="s">
        <v>2065</v>
      </c>
      <c r="D613" s="13">
        <v>40.0</v>
      </c>
      <c r="E613" s="13">
        <v>5.0</v>
      </c>
      <c r="F613" s="13">
        <v>0.0</v>
      </c>
      <c r="G613" s="14"/>
      <c r="H613" s="13">
        <v>0.0</v>
      </c>
      <c r="I613" s="14"/>
      <c r="J613" s="15" t="s">
        <v>2066</v>
      </c>
      <c r="K613" s="13" t="s">
        <v>2067</v>
      </c>
      <c r="L613" s="13" t="s">
        <v>692</v>
      </c>
      <c r="M613" s="14"/>
      <c r="N613" s="14"/>
      <c r="O613" s="14"/>
      <c r="P613" s="14"/>
      <c r="Q613" s="14"/>
      <c r="R613" s="14"/>
      <c r="S613" s="14"/>
      <c r="T613" s="14"/>
      <c r="U613" s="16" t="str">
        <f t="shared" si="1"/>
        <v>CALL InsertOrUpdateProducto('800','Masilla para placas de yeso','Masilla para placas de yeso','40','5','0','','0','','https://img.quodom.com.ar/producto/702.png','Z800','PESO','','','');</v>
      </c>
    </row>
    <row r="614">
      <c r="A614" s="2">
        <v>801.0</v>
      </c>
      <c r="B614" s="2" t="s">
        <v>2068</v>
      </c>
      <c r="C614" s="2" t="s">
        <v>2068</v>
      </c>
      <c r="D614" s="2">
        <v>30.0</v>
      </c>
      <c r="E614" s="2">
        <v>4.0</v>
      </c>
      <c r="F614" s="2">
        <v>0.0</v>
      </c>
      <c r="H614" s="2">
        <v>0.0</v>
      </c>
      <c r="J614" s="3" t="s">
        <v>2069</v>
      </c>
      <c r="K614" s="2" t="s">
        <v>2070</v>
      </c>
      <c r="U614" s="8" t="str">
        <f t="shared" si="1"/>
        <v>CALL InsertOrUpdateProducto('801','Canto rodado por m3','Canto rodado por m3','30','4','0','','0','','https://img.quodom.com.ar/producto/801.png','Z801','','','','');</v>
      </c>
    </row>
    <row r="615">
      <c r="A615" s="2">
        <v>802.0</v>
      </c>
      <c r="B615" s="2" t="s">
        <v>2071</v>
      </c>
      <c r="C615" s="2" t="s">
        <v>2071</v>
      </c>
      <c r="D615" s="2">
        <v>31.0</v>
      </c>
      <c r="E615" s="2">
        <v>4.0</v>
      </c>
      <c r="F615" s="2">
        <v>0.0</v>
      </c>
      <c r="H615" s="2">
        <v>0.0</v>
      </c>
      <c r="J615" s="3" t="s">
        <v>2072</v>
      </c>
      <c r="K615" s="2" t="s">
        <v>2073</v>
      </c>
      <c r="U615" s="8" t="str">
        <f t="shared" si="1"/>
        <v>CALL InsertOrUpdateProducto('802','Yeso proyectable por 30 kg','Yeso proyectable por 30 kg','31','4','0','','0','','https://img.quodom.com.ar/producto/802.png','Z802','','','','');</v>
      </c>
    </row>
    <row r="616">
      <c r="A616" s="2">
        <v>803.0</v>
      </c>
      <c r="B616" s="2" t="s">
        <v>2074</v>
      </c>
      <c r="C616" s="2" t="s">
        <v>2074</v>
      </c>
      <c r="D616" s="2">
        <v>31.0</v>
      </c>
      <c r="E616" s="2">
        <v>4.0</v>
      </c>
      <c r="F616" s="2">
        <v>0.0</v>
      </c>
      <c r="H616" s="2">
        <v>0.0</v>
      </c>
      <c r="J616" s="3" t="s">
        <v>2075</v>
      </c>
      <c r="K616" s="2" t="s">
        <v>2076</v>
      </c>
      <c r="U616" s="8" t="str">
        <f t="shared" si="1"/>
        <v>CALL InsertOrUpdateProducto('803','Revoque fino exterior por 30 kg','Revoque fino exterior por 30 kg','31','4','0','','0','','https://img.quodom.com.ar/producto/803.png','Z803','','','','');</v>
      </c>
    </row>
    <row r="617">
      <c r="A617" s="2">
        <v>804.0</v>
      </c>
      <c r="B617" s="2" t="s">
        <v>2077</v>
      </c>
      <c r="C617" s="2" t="s">
        <v>2077</v>
      </c>
      <c r="D617" s="2">
        <v>31.0</v>
      </c>
      <c r="E617" s="2">
        <v>4.0</v>
      </c>
      <c r="F617" s="2">
        <v>0.0</v>
      </c>
      <c r="H617" s="2">
        <v>0.0</v>
      </c>
      <c r="J617" s="3" t="s">
        <v>2078</v>
      </c>
      <c r="K617" s="2" t="s">
        <v>2079</v>
      </c>
      <c r="U617" s="8" t="str">
        <f t="shared" si="1"/>
        <v>CALL InsertOrUpdateProducto('804','Revoque 3 en 1 por 30 kg','Revoque 3 en 1 por 30 kg','31','4','0','','0','','https://img.quodom.com.ar/producto/804.png','Z804','','','','');</v>
      </c>
    </row>
    <row r="618">
      <c r="A618" s="2">
        <v>805.0</v>
      </c>
      <c r="B618" s="2" t="s">
        <v>2080</v>
      </c>
      <c r="C618" s="2" t="s">
        <v>2080</v>
      </c>
      <c r="D618" s="2">
        <v>31.0</v>
      </c>
      <c r="E618" s="2">
        <v>4.0</v>
      </c>
      <c r="F618" s="2">
        <v>0.0</v>
      </c>
      <c r="H618" s="2">
        <v>0.0</v>
      </c>
      <c r="J618" s="3" t="s">
        <v>2081</v>
      </c>
      <c r="K618" s="2" t="s">
        <v>2082</v>
      </c>
      <c r="U618" s="8" t="str">
        <f t="shared" si="1"/>
        <v>CALL InsertOrUpdateProducto('805','Revoque 4 en 1 por 30 kg','Revoque 4 en 1 por 30 kg','31','4','0','','0','','https://img.quodom.com.ar/producto/805.png','Z805','','','','');</v>
      </c>
    </row>
    <row r="619">
      <c r="A619" s="2">
        <v>807.0</v>
      </c>
      <c r="B619" s="2" t="s">
        <v>2083</v>
      </c>
      <c r="C619" s="2" t="s">
        <v>2083</v>
      </c>
      <c r="D619" s="2">
        <v>62.0</v>
      </c>
      <c r="E619" s="2">
        <v>3.0</v>
      </c>
      <c r="F619" s="2">
        <v>0.0</v>
      </c>
      <c r="H619" s="2">
        <v>0.0</v>
      </c>
      <c r="J619" s="3" t="s">
        <v>2084</v>
      </c>
      <c r="K619" s="2" t="s">
        <v>2085</v>
      </c>
      <c r="L619" s="2" t="s">
        <v>263</v>
      </c>
      <c r="U619" s="8" t="str">
        <f t="shared" si="1"/>
        <v>CALL InsertOrUpdateProducto('807','Bandeja polipropileno negra por 10 unidades','Bandeja polipropileno negra por 10 unidades','62','3','0','','0','','https://img.quodom.com.ar/producto/807.png','Z807','MEDIDAS','','','');</v>
      </c>
    </row>
    <row r="620">
      <c r="A620" s="17">
        <v>808.0</v>
      </c>
      <c r="B620" s="17" t="s">
        <v>2086</v>
      </c>
      <c r="C620" s="2" t="s">
        <v>2086</v>
      </c>
      <c r="D620" s="2">
        <v>41.0</v>
      </c>
      <c r="E620" s="2">
        <v>6.0</v>
      </c>
      <c r="F620" s="2">
        <v>0.0</v>
      </c>
      <c r="H620" s="2">
        <v>0.0</v>
      </c>
      <c r="J620" s="3" t="s">
        <v>2087</v>
      </c>
      <c r="K620" s="2" t="s">
        <v>2088</v>
      </c>
      <c r="L620" s="2" t="s">
        <v>263</v>
      </c>
      <c r="U620" s="8" t="str">
        <f t="shared" si="1"/>
        <v>CALL InsertOrUpdateProducto('808','Te rosca central macho pack 10 unidades','Te rosca central macho pack 10 unidades','41','6','0','','0','','https://img.quodom.com.ar/producto/808.png','Z808','MEDIDAS','','','');</v>
      </c>
    </row>
    <row r="621">
      <c r="A621" s="2">
        <v>809.0</v>
      </c>
      <c r="B621" s="2" t="s">
        <v>2089</v>
      </c>
      <c r="C621" s="2" t="s">
        <v>2089</v>
      </c>
      <c r="D621" s="2">
        <v>41.0</v>
      </c>
      <c r="E621" s="2">
        <v>6.0</v>
      </c>
      <c r="F621" s="2">
        <v>0.0</v>
      </c>
      <c r="H621" s="2">
        <v>0.0</v>
      </c>
      <c r="J621" s="3" t="s">
        <v>2090</v>
      </c>
      <c r="K621" s="2" t="s">
        <v>2091</v>
      </c>
      <c r="L621" s="2" t="s">
        <v>263</v>
      </c>
      <c r="U621" s="8" t="str">
        <f t="shared" si="1"/>
        <v>CALL InsertOrUpdateProducto('809','Llave de paso normal','Llave de paso normal','41','6','0','','0','','https://img.quodom.com.ar/producto/809.png','Z809','MEDIDAS','','','');</v>
      </c>
    </row>
    <row r="622">
      <c r="A622" s="2">
        <v>810.0</v>
      </c>
      <c r="B622" s="2" t="s">
        <v>2092</v>
      </c>
      <c r="C622" s="2" t="s">
        <v>2092</v>
      </c>
      <c r="D622" s="2">
        <v>47.0</v>
      </c>
      <c r="E622" s="2">
        <v>7.0</v>
      </c>
      <c r="F622" s="2">
        <v>0.0</v>
      </c>
      <c r="H622" s="2">
        <v>0.0</v>
      </c>
      <c r="J622" s="3" t="s">
        <v>2084</v>
      </c>
      <c r="K622" s="2" t="s">
        <v>2093</v>
      </c>
      <c r="L622" s="2" t="s">
        <v>1331</v>
      </c>
      <c r="U622" s="8" t="str">
        <f t="shared" si="1"/>
        <v>CALL InsertOrUpdateProducto('810','Powerade Mountain Blast pack 6','Powerade Mountain Blast pack 6','47','7','0','','0','','https://img.quodom.com.ar/producto/807.png','Z810','FORMATO','','','');</v>
      </c>
    </row>
    <row r="623">
      <c r="A623" s="2">
        <v>811.0</v>
      </c>
      <c r="B623" s="2" t="s">
        <v>2094</v>
      </c>
      <c r="C623" s="2" t="s">
        <v>2094</v>
      </c>
      <c r="D623" s="2">
        <v>47.0</v>
      </c>
      <c r="E623" s="2">
        <v>7.0</v>
      </c>
      <c r="F623" s="2">
        <v>0.0</v>
      </c>
      <c r="H623" s="2">
        <v>0.0</v>
      </c>
      <c r="J623" s="3" t="s">
        <v>2087</v>
      </c>
      <c r="K623" s="2" t="s">
        <v>2095</v>
      </c>
      <c r="L623" s="2" t="s">
        <v>1331</v>
      </c>
      <c r="U623" s="8" t="str">
        <f t="shared" si="1"/>
        <v>CALL InsertOrUpdateProducto('811','Powerade Frutas Tropicales pack 6','Powerade Frutas Tropicales pack 6','47','7','0','','0','','https://img.quodom.com.ar/producto/808.png','Z811','FORMATO','','','');</v>
      </c>
    </row>
    <row r="624">
      <c r="A624" s="2">
        <v>812.0</v>
      </c>
      <c r="B624" s="2" t="s">
        <v>2096</v>
      </c>
      <c r="C624" s="2" t="s">
        <v>2096</v>
      </c>
      <c r="D624" s="2">
        <v>47.0</v>
      </c>
      <c r="E624" s="2">
        <v>7.0</v>
      </c>
      <c r="F624" s="2">
        <v>0.0</v>
      </c>
      <c r="H624" s="2">
        <v>0.0</v>
      </c>
      <c r="J624" s="3" t="s">
        <v>2090</v>
      </c>
      <c r="K624" s="2" t="s">
        <v>2097</v>
      </c>
      <c r="L624" s="2" t="s">
        <v>1331</v>
      </c>
      <c r="U624" s="8" t="str">
        <f t="shared" si="1"/>
        <v>CALL InsertOrUpdateProducto('812','Powerade Manzana pack 6','Powerade Manzana pack 6','47','7','0','','0','','https://img.quodom.com.ar/producto/809.png','Z812','FORMATO','','','');</v>
      </c>
    </row>
    <row r="625">
      <c r="A625" s="2">
        <v>813.0</v>
      </c>
      <c r="B625" s="2" t="s">
        <v>2098</v>
      </c>
      <c r="C625" s="2" t="s">
        <v>2098</v>
      </c>
      <c r="D625" s="2">
        <v>17.0</v>
      </c>
      <c r="E625" s="2">
        <v>1.0</v>
      </c>
      <c r="F625" s="2">
        <v>0.0</v>
      </c>
      <c r="H625" s="2">
        <v>0.0</v>
      </c>
      <c r="J625" s="3" t="s">
        <v>1320</v>
      </c>
      <c r="K625" s="2" t="s">
        <v>1321</v>
      </c>
      <c r="U625" s="8" t="str">
        <f t="shared" si="1"/>
        <v>CALL InsertOrUpdateProducto('813','Rollo de cocina 200 paños pack 8 unidades','Rollo de cocina 200 paños pack 8 unidades','17','1','0','','0','','https://img.quodom.com.ar/producto/558.png','Z558','','','','');</v>
      </c>
    </row>
    <row r="626">
      <c r="A626" s="2">
        <v>814.0</v>
      </c>
      <c r="B626" s="9" t="s">
        <v>2099</v>
      </c>
      <c r="C626" s="2" t="s">
        <v>2100</v>
      </c>
      <c r="D626" s="2">
        <v>17.0</v>
      </c>
      <c r="E626" s="2">
        <v>1.0</v>
      </c>
      <c r="F626" s="2">
        <v>0.0</v>
      </c>
      <c r="H626" s="2">
        <v>0.0</v>
      </c>
      <c r="J626" s="18" t="s">
        <v>2101</v>
      </c>
      <c r="K626" s="2" t="s">
        <v>2102</v>
      </c>
      <c r="U626" s="8" t="str">
        <f t="shared" si="1"/>
        <v>CALL InsertOrUpdateProducto('814','Servilletas Soft Blanca 32x32mm caja x 1000 un','Servilletas Soft Blanca 32x32 caja x 1000 unidades','17','1','0','','0','','https://img.quodom.com.ar/producto/814.png','Z814','','','','');</v>
      </c>
    </row>
    <row r="628">
      <c r="A628" s="9">
        <v>815.0</v>
      </c>
      <c r="B628" s="2" t="s">
        <v>2103</v>
      </c>
      <c r="C628" s="2" t="s">
        <v>2103</v>
      </c>
      <c r="E628" s="2">
        <v>4.0</v>
      </c>
      <c r="F628" s="2">
        <v>0.0</v>
      </c>
      <c r="H628" s="2">
        <v>0.0</v>
      </c>
      <c r="J628" s="19"/>
      <c r="L628" s="2" t="s">
        <v>263</v>
      </c>
    </row>
    <row r="629">
      <c r="A629" s="9">
        <v>816.0</v>
      </c>
      <c r="B629" s="2" t="s">
        <v>2104</v>
      </c>
      <c r="C629" s="2" t="s">
        <v>2104</v>
      </c>
      <c r="E629" s="2">
        <v>4.0</v>
      </c>
      <c r="F629" s="2">
        <v>0.0</v>
      </c>
      <c r="H629" s="2">
        <v>0.0</v>
      </c>
      <c r="J629" s="19"/>
      <c r="L629" s="2" t="s">
        <v>263</v>
      </c>
    </row>
    <row r="630">
      <c r="A630" s="9">
        <v>817.0</v>
      </c>
      <c r="B630" s="2" t="s">
        <v>2105</v>
      </c>
      <c r="C630" s="2" t="s">
        <v>2105</v>
      </c>
      <c r="E630" s="2">
        <v>4.0</v>
      </c>
      <c r="F630" s="2">
        <v>0.0</v>
      </c>
      <c r="H630" s="2">
        <v>0.0</v>
      </c>
      <c r="J630" s="19"/>
      <c r="L630" s="2" t="s">
        <v>263</v>
      </c>
    </row>
    <row r="631">
      <c r="A631" s="9">
        <v>818.0</v>
      </c>
      <c r="B631" s="2" t="s">
        <v>2106</v>
      </c>
      <c r="C631" s="2" t="s">
        <v>2106</v>
      </c>
      <c r="E631" s="2">
        <v>4.0</v>
      </c>
      <c r="F631" s="2">
        <v>0.0</v>
      </c>
      <c r="H631" s="2">
        <v>0.0</v>
      </c>
      <c r="J631" s="19"/>
      <c r="L631" s="2" t="s">
        <v>263</v>
      </c>
    </row>
    <row r="632">
      <c r="A632" s="9">
        <v>819.0</v>
      </c>
      <c r="B632" s="2" t="s">
        <v>2107</v>
      </c>
      <c r="C632" s="2" t="s">
        <v>2108</v>
      </c>
      <c r="E632" s="2">
        <v>4.0</v>
      </c>
      <c r="F632" s="2">
        <v>0.0</v>
      </c>
      <c r="H632" s="2">
        <v>0.0</v>
      </c>
      <c r="J632" s="19"/>
      <c r="L632" s="2" t="s">
        <v>263</v>
      </c>
    </row>
    <row r="633">
      <c r="A633" s="9">
        <v>820.0</v>
      </c>
      <c r="B633" s="2" t="s">
        <v>2109</v>
      </c>
      <c r="C633" s="2" t="s">
        <v>2109</v>
      </c>
      <c r="E633" s="2">
        <v>4.0</v>
      </c>
      <c r="F633" s="2">
        <v>0.0</v>
      </c>
      <c r="H633" s="2">
        <v>0.0</v>
      </c>
      <c r="J633" s="19"/>
      <c r="L633" s="2" t="s">
        <v>263</v>
      </c>
    </row>
    <row r="634">
      <c r="A634" s="9">
        <v>821.0</v>
      </c>
      <c r="B634" s="2" t="s">
        <v>2110</v>
      </c>
      <c r="C634" s="2" t="s">
        <v>2110</v>
      </c>
      <c r="E634" s="2">
        <v>4.0</v>
      </c>
      <c r="F634" s="2">
        <v>0.0</v>
      </c>
      <c r="H634" s="2">
        <v>0.0</v>
      </c>
      <c r="J634" s="19"/>
      <c r="L634" s="2" t="s">
        <v>263</v>
      </c>
    </row>
    <row r="635">
      <c r="A635" s="9">
        <v>822.0</v>
      </c>
      <c r="B635" s="2" t="s">
        <v>2111</v>
      </c>
      <c r="C635" s="2" t="s">
        <v>2112</v>
      </c>
      <c r="E635" s="2">
        <v>4.0</v>
      </c>
      <c r="F635" s="2">
        <v>0.0</v>
      </c>
      <c r="H635" s="2">
        <v>0.0</v>
      </c>
      <c r="J635" s="19"/>
      <c r="L635" s="2" t="s">
        <v>263</v>
      </c>
    </row>
    <row r="636">
      <c r="A636" s="9">
        <v>823.0</v>
      </c>
      <c r="B636" s="2" t="s">
        <v>2113</v>
      </c>
      <c r="C636" s="2" t="s">
        <v>2113</v>
      </c>
      <c r="E636" s="2">
        <v>4.0</v>
      </c>
      <c r="F636" s="2">
        <v>0.0</v>
      </c>
      <c r="H636" s="2">
        <v>0.0</v>
      </c>
      <c r="J636" s="19"/>
      <c r="L636" s="2" t="s">
        <v>263</v>
      </c>
    </row>
    <row r="637">
      <c r="A637" s="9">
        <v>824.0</v>
      </c>
      <c r="B637" s="2" t="s">
        <v>2114</v>
      </c>
      <c r="C637" s="2" t="s">
        <v>2114</v>
      </c>
      <c r="E637" s="2">
        <v>4.0</v>
      </c>
      <c r="F637" s="2">
        <v>0.0</v>
      </c>
      <c r="H637" s="2">
        <v>0.0</v>
      </c>
      <c r="L637" s="2" t="s">
        <v>263</v>
      </c>
    </row>
    <row r="638">
      <c r="A638" s="9">
        <v>825.0</v>
      </c>
      <c r="B638" s="2" t="s">
        <v>2115</v>
      </c>
      <c r="C638" s="2" t="s">
        <v>2115</v>
      </c>
      <c r="E638" s="2">
        <v>4.0</v>
      </c>
      <c r="F638" s="2">
        <v>0.0</v>
      </c>
      <c r="H638" s="2">
        <v>0.0</v>
      </c>
      <c r="L638" s="2" t="s">
        <v>263</v>
      </c>
    </row>
    <row r="639">
      <c r="A639" s="9">
        <v>826.0</v>
      </c>
      <c r="B639" s="2" t="s">
        <v>2116</v>
      </c>
      <c r="C639" s="2" t="s">
        <v>2116</v>
      </c>
      <c r="E639" s="2">
        <v>4.0</v>
      </c>
      <c r="F639" s="2">
        <v>0.0</v>
      </c>
      <c r="H639" s="2">
        <v>0.0</v>
      </c>
      <c r="L639" s="2" t="s">
        <v>263</v>
      </c>
    </row>
    <row r="640">
      <c r="A640" s="9">
        <v>827.0</v>
      </c>
      <c r="B640" s="2" t="s">
        <v>2117</v>
      </c>
      <c r="C640" s="2" t="s">
        <v>2117</v>
      </c>
      <c r="E640" s="2">
        <v>4.0</v>
      </c>
      <c r="F640" s="2"/>
      <c r="H640" s="2"/>
      <c r="L640" s="2"/>
    </row>
    <row r="641">
      <c r="A641" s="9">
        <v>828.0</v>
      </c>
      <c r="B641" s="2" t="s">
        <v>2118</v>
      </c>
      <c r="C641" s="2" t="s">
        <v>2119</v>
      </c>
      <c r="E641" s="2">
        <v>4.0</v>
      </c>
      <c r="F641" s="2">
        <v>0.0</v>
      </c>
      <c r="H641" s="2">
        <v>0.0</v>
      </c>
      <c r="L641" s="2" t="s">
        <v>263</v>
      </c>
    </row>
    <row r="642">
      <c r="A642" s="9">
        <v>829.0</v>
      </c>
      <c r="B642" s="2" t="s">
        <v>2120</v>
      </c>
      <c r="C642" s="2" t="s">
        <v>2119</v>
      </c>
      <c r="E642" s="2">
        <v>4.0</v>
      </c>
      <c r="F642" s="2">
        <v>0.0</v>
      </c>
      <c r="H642" s="2">
        <v>0.0</v>
      </c>
      <c r="L642" s="2" t="s">
        <v>263</v>
      </c>
    </row>
    <row r="643">
      <c r="A643" s="9">
        <v>830.0</v>
      </c>
      <c r="B643" s="2" t="s">
        <v>2121</v>
      </c>
      <c r="C643" s="2" t="s">
        <v>2121</v>
      </c>
      <c r="E643" s="2">
        <v>4.0</v>
      </c>
      <c r="F643" s="2">
        <v>0.0</v>
      </c>
      <c r="H643" s="2">
        <v>0.0</v>
      </c>
      <c r="L643" s="2" t="s">
        <v>263</v>
      </c>
    </row>
    <row r="644">
      <c r="A644" s="9">
        <v>831.0</v>
      </c>
      <c r="B644" s="2" t="s">
        <v>2122</v>
      </c>
      <c r="C644" s="2" t="s">
        <v>2122</v>
      </c>
      <c r="E644" s="2">
        <v>4.0</v>
      </c>
      <c r="F644" s="2">
        <v>0.0</v>
      </c>
      <c r="H644" s="2">
        <v>0.0</v>
      </c>
      <c r="L644" s="2" t="s">
        <v>263</v>
      </c>
    </row>
    <row r="645">
      <c r="A645" s="9">
        <v>832.0</v>
      </c>
      <c r="B645" s="2" t="s">
        <v>2123</v>
      </c>
      <c r="C645" s="2" t="s">
        <v>2123</v>
      </c>
      <c r="E645" s="2">
        <v>4.0</v>
      </c>
      <c r="F645" s="2">
        <v>0.0</v>
      </c>
      <c r="H645" s="2">
        <v>0.0</v>
      </c>
      <c r="L645" s="2" t="s">
        <v>692</v>
      </c>
    </row>
    <row r="646">
      <c r="A646" s="9">
        <v>833.0</v>
      </c>
      <c r="B646" s="2" t="s">
        <v>2124</v>
      </c>
      <c r="C646" s="2" t="s">
        <v>2124</v>
      </c>
      <c r="E646" s="2">
        <v>4.0</v>
      </c>
      <c r="F646" s="2">
        <v>0.0</v>
      </c>
      <c r="H646" s="2">
        <v>0.0</v>
      </c>
      <c r="L646" s="2" t="s">
        <v>692</v>
      </c>
    </row>
  </sheetData>
  <autoFilter ref="$A$1:$O$622">
    <sortState ref="A1:O622">
      <sortCondition ref="B1:B622"/>
      <sortCondition ref="A1:A622"/>
    </sortState>
  </autoFilter>
  <hyperlinks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2"/>
    <hyperlink r:id="rId13" ref="J13"/>
    <hyperlink r:id="rId14" ref="J14"/>
    <hyperlink r:id="rId15" ref="J15"/>
    <hyperlink r:id="rId16" ref="J16"/>
    <hyperlink r:id="rId17" ref="J17"/>
    <hyperlink r:id="rId18" ref="J18"/>
    <hyperlink r:id="rId19" ref="J19"/>
    <hyperlink r:id="rId20" ref="J20"/>
    <hyperlink r:id="rId21" ref="J21"/>
    <hyperlink r:id="rId22" ref="J22"/>
    <hyperlink r:id="rId23" ref="J23"/>
    <hyperlink r:id="rId24" ref="J24"/>
    <hyperlink r:id="rId25" ref="J25"/>
    <hyperlink r:id="rId26" ref="J26"/>
    <hyperlink r:id="rId27" ref="J27"/>
    <hyperlink r:id="rId28" ref="J28"/>
    <hyperlink r:id="rId29" ref="J29"/>
    <hyperlink r:id="rId30" ref="J30"/>
    <hyperlink r:id="rId31" ref="J31"/>
    <hyperlink r:id="rId32" ref="J32"/>
    <hyperlink r:id="rId33" ref="J33"/>
    <hyperlink r:id="rId34" ref="J34"/>
    <hyperlink r:id="rId35" ref="J35"/>
    <hyperlink r:id="rId36" ref="J36"/>
    <hyperlink r:id="rId37" ref="J37"/>
    <hyperlink r:id="rId38" ref="J38"/>
    <hyperlink r:id="rId39" ref="J39"/>
    <hyperlink r:id="rId40" ref="J40"/>
    <hyperlink r:id="rId41" ref="J41"/>
    <hyperlink r:id="rId42" ref="J42"/>
    <hyperlink r:id="rId43" ref="J43"/>
    <hyperlink r:id="rId44" ref="J44"/>
    <hyperlink r:id="rId45" ref="J45"/>
    <hyperlink r:id="rId46" ref="J46"/>
    <hyperlink r:id="rId47" ref="J47"/>
    <hyperlink r:id="rId48" ref="J48"/>
    <hyperlink r:id="rId49" ref="J49"/>
    <hyperlink r:id="rId50" ref="J50"/>
    <hyperlink r:id="rId51" ref="J51"/>
    <hyperlink r:id="rId52" ref="J52"/>
    <hyperlink r:id="rId53" ref="J53"/>
    <hyperlink r:id="rId54" ref="J54"/>
    <hyperlink r:id="rId55" ref="J55"/>
    <hyperlink r:id="rId56" ref="J56"/>
    <hyperlink r:id="rId57" ref="J57"/>
    <hyperlink r:id="rId58" ref="J58"/>
    <hyperlink r:id="rId59" ref="J59"/>
    <hyperlink r:id="rId60" ref="J60"/>
    <hyperlink r:id="rId61" ref="J61"/>
    <hyperlink r:id="rId62" ref="J62"/>
    <hyperlink r:id="rId63" ref="J63"/>
    <hyperlink r:id="rId64" ref="J64"/>
    <hyperlink r:id="rId65" ref="J65"/>
    <hyperlink r:id="rId66" ref="J66"/>
    <hyperlink r:id="rId67" ref="J67"/>
    <hyperlink r:id="rId68" ref="J68"/>
    <hyperlink r:id="rId69" ref="J69"/>
    <hyperlink r:id="rId70" ref="J70"/>
    <hyperlink r:id="rId71" ref="J71"/>
    <hyperlink r:id="rId72" ref="J72"/>
    <hyperlink r:id="rId73" ref="J73"/>
    <hyperlink r:id="rId74" ref="J74"/>
    <hyperlink r:id="rId75" ref="J75"/>
    <hyperlink r:id="rId76" ref="J76"/>
    <hyperlink r:id="rId77" ref="J77"/>
    <hyperlink r:id="rId78" ref="J78"/>
    <hyperlink r:id="rId79" ref="J79"/>
    <hyperlink r:id="rId80" ref="J80"/>
    <hyperlink r:id="rId81" ref="J81"/>
    <hyperlink r:id="rId82" ref="J82"/>
    <hyperlink r:id="rId83" ref="J83"/>
    <hyperlink r:id="rId84" ref="J84"/>
    <hyperlink r:id="rId85" ref="J85"/>
    <hyperlink r:id="rId86" ref="J86"/>
    <hyperlink r:id="rId87" ref="J87"/>
    <hyperlink r:id="rId88" ref="J88"/>
    <hyperlink r:id="rId89" ref="J89"/>
    <hyperlink r:id="rId90" ref="J90"/>
    <hyperlink r:id="rId91" ref="J91"/>
    <hyperlink r:id="rId92" ref="J92"/>
    <hyperlink r:id="rId93" ref="J93"/>
    <hyperlink r:id="rId94" ref="J94"/>
    <hyperlink r:id="rId95" ref="J95"/>
    <hyperlink r:id="rId96" ref="J96"/>
    <hyperlink r:id="rId97" ref="J97"/>
    <hyperlink r:id="rId98" ref="J98"/>
    <hyperlink r:id="rId99" ref="J99"/>
    <hyperlink r:id="rId100" ref="J100"/>
    <hyperlink r:id="rId101" ref="J101"/>
    <hyperlink r:id="rId102" ref="J102"/>
    <hyperlink r:id="rId103" ref="J103"/>
    <hyperlink r:id="rId104" ref="J104"/>
    <hyperlink r:id="rId105" ref="J105"/>
    <hyperlink r:id="rId106" ref="J106"/>
    <hyperlink r:id="rId107" ref="J107"/>
    <hyperlink r:id="rId108" ref="J108"/>
    <hyperlink r:id="rId109" ref="J109"/>
    <hyperlink r:id="rId110" ref="J110"/>
    <hyperlink r:id="rId111" ref="J111"/>
    <hyperlink r:id="rId112" ref="J112"/>
    <hyperlink r:id="rId113" ref="J113"/>
    <hyperlink r:id="rId114" ref="J114"/>
    <hyperlink r:id="rId115" ref="J115"/>
    <hyperlink r:id="rId116" ref="J116"/>
    <hyperlink r:id="rId117" ref="J117"/>
    <hyperlink r:id="rId118" ref="J118"/>
    <hyperlink r:id="rId119" ref="J119"/>
    <hyperlink r:id="rId120" ref="J120"/>
    <hyperlink r:id="rId121" ref="J121"/>
    <hyperlink r:id="rId122" ref="J122"/>
    <hyperlink r:id="rId123" ref="J123"/>
    <hyperlink r:id="rId124" ref="J124"/>
    <hyperlink r:id="rId125" ref="J125"/>
    <hyperlink r:id="rId126" ref="J126"/>
    <hyperlink r:id="rId127" ref="J127"/>
    <hyperlink r:id="rId128" ref="J128"/>
    <hyperlink r:id="rId129" ref="J129"/>
    <hyperlink r:id="rId130" ref="J130"/>
    <hyperlink r:id="rId131" ref="J131"/>
    <hyperlink r:id="rId132" ref="J132"/>
    <hyperlink r:id="rId133" ref="J133"/>
    <hyperlink r:id="rId134" ref="J134"/>
    <hyperlink r:id="rId135" ref="J135"/>
    <hyperlink r:id="rId136" ref="J136"/>
    <hyperlink r:id="rId137" ref="J137"/>
    <hyperlink r:id="rId138" ref="J138"/>
    <hyperlink r:id="rId139" ref="J139"/>
    <hyperlink r:id="rId140" ref="J140"/>
    <hyperlink r:id="rId141" ref="J141"/>
    <hyperlink r:id="rId142" ref="J142"/>
    <hyperlink r:id="rId143" ref="J143"/>
    <hyperlink r:id="rId144" ref="J144"/>
    <hyperlink r:id="rId145" ref="J145"/>
    <hyperlink r:id="rId146" ref="J146"/>
    <hyperlink r:id="rId147" ref="J147"/>
    <hyperlink r:id="rId148" ref="J148"/>
    <hyperlink r:id="rId149" ref="J149"/>
    <hyperlink r:id="rId150" ref="J150"/>
    <hyperlink r:id="rId151" ref="J151"/>
    <hyperlink r:id="rId152" ref="J152"/>
    <hyperlink r:id="rId153" ref="J153"/>
    <hyperlink r:id="rId154" ref="J154"/>
    <hyperlink r:id="rId155" ref="J155"/>
    <hyperlink r:id="rId156" ref="J156"/>
    <hyperlink r:id="rId157" ref="J157"/>
    <hyperlink r:id="rId158" ref="J158"/>
    <hyperlink r:id="rId159" ref="J159"/>
    <hyperlink r:id="rId160" ref="J160"/>
    <hyperlink r:id="rId161" ref="J161"/>
    <hyperlink r:id="rId162" ref="J162"/>
    <hyperlink r:id="rId163" ref="J163"/>
    <hyperlink r:id="rId164" ref="J164"/>
    <hyperlink r:id="rId165" ref="J165"/>
    <hyperlink r:id="rId166" ref="J166"/>
    <hyperlink r:id="rId167" ref="J167"/>
    <hyperlink r:id="rId168" ref="J168"/>
    <hyperlink r:id="rId169" ref="J169"/>
    <hyperlink r:id="rId170" ref="J170"/>
    <hyperlink r:id="rId171" ref="J171"/>
    <hyperlink r:id="rId172" ref="J172"/>
    <hyperlink r:id="rId173" ref="J173"/>
    <hyperlink r:id="rId174" ref="J174"/>
    <hyperlink r:id="rId175" ref="J175"/>
    <hyperlink r:id="rId176" ref="J176"/>
    <hyperlink r:id="rId177" ref="J177"/>
    <hyperlink r:id="rId178" ref="J178"/>
    <hyperlink r:id="rId179" ref="J179"/>
    <hyperlink r:id="rId180" ref="J180"/>
    <hyperlink r:id="rId181" ref="J181"/>
    <hyperlink r:id="rId182" ref="J182"/>
    <hyperlink r:id="rId183" ref="J183"/>
    <hyperlink r:id="rId184" ref="J184"/>
    <hyperlink r:id="rId185" ref="J185"/>
    <hyperlink r:id="rId186" ref="J186"/>
    <hyperlink r:id="rId187" ref="J187"/>
    <hyperlink r:id="rId188" ref="J188"/>
    <hyperlink r:id="rId189" ref="J189"/>
    <hyperlink r:id="rId190" ref="J190"/>
    <hyperlink r:id="rId191" ref="J191"/>
    <hyperlink r:id="rId192" ref="J192"/>
    <hyperlink r:id="rId193" ref="J193"/>
    <hyperlink r:id="rId194" ref="J194"/>
    <hyperlink r:id="rId195" ref="J195"/>
    <hyperlink r:id="rId196" ref="J196"/>
    <hyperlink r:id="rId197" ref="J197"/>
    <hyperlink r:id="rId198" ref="J198"/>
    <hyperlink r:id="rId199" ref="J199"/>
    <hyperlink r:id="rId200" ref="J200"/>
    <hyperlink r:id="rId201" ref="J201"/>
    <hyperlink r:id="rId202" ref="J202"/>
    <hyperlink r:id="rId203" ref="J203"/>
    <hyperlink r:id="rId204" ref="J204"/>
    <hyperlink r:id="rId205" ref="J205"/>
    <hyperlink r:id="rId206" ref="J206"/>
    <hyperlink r:id="rId207" ref="J207"/>
    <hyperlink r:id="rId208" ref="J208"/>
    <hyperlink r:id="rId209" ref="J209"/>
    <hyperlink r:id="rId210" ref="J210"/>
    <hyperlink r:id="rId211" ref="J211"/>
    <hyperlink r:id="rId212" ref="J212"/>
    <hyperlink r:id="rId213" ref="J213"/>
    <hyperlink r:id="rId214" ref="J214"/>
    <hyperlink r:id="rId215" ref="J215"/>
    <hyperlink r:id="rId216" ref="J216"/>
    <hyperlink r:id="rId217" ref="J217"/>
    <hyperlink r:id="rId218" ref="J218"/>
    <hyperlink r:id="rId219" ref="J219"/>
    <hyperlink r:id="rId220" ref="J220"/>
    <hyperlink r:id="rId221" ref="J221"/>
    <hyperlink r:id="rId222" ref="J222"/>
    <hyperlink r:id="rId223" ref="J223"/>
    <hyperlink r:id="rId224" ref="J224"/>
    <hyperlink r:id="rId225" ref="J225"/>
    <hyperlink r:id="rId226" ref="J226"/>
    <hyperlink r:id="rId227" ref="J227"/>
    <hyperlink r:id="rId228" ref="J228"/>
    <hyperlink r:id="rId229" ref="J229"/>
    <hyperlink r:id="rId230" ref="J230"/>
    <hyperlink r:id="rId231" ref="J231"/>
    <hyperlink r:id="rId232" ref="J232"/>
    <hyperlink r:id="rId233" ref="J233"/>
    <hyperlink r:id="rId234" ref="J234"/>
    <hyperlink r:id="rId235" ref="J235"/>
    <hyperlink r:id="rId236" ref="J236"/>
    <hyperlink r:id="rId237" ref="J237"/>
    <hyperlink r:id="rId238" ref="J238"/>
    <hyperlink r:id="rId239" ref="J239"/>
    <hyperlink r:id="rId240" ref="J240"/>
    <hyperlink r:id="rId241" ref="J241"/>
    <hyperlink r:id="rId242" ref="J242"/>
    <hyperlink r:id="rId243" ref="J243"/>
    <hyperlink r:id="rId244" ref="J244"/>
    <hyperlink r:id="rId245" ref="J245"/>
    <hyperlink r:id="rId246" ref="J246"/>
    <hyperlink r:id="rId247" ref="J247"/>
    <hyperlink r:id="rId248" ref="J248"/>
    <hyperlink r:id="rId249" ref="J249"/>
    <hyperlink r:id="rId250" ref="J250"/>
    <hyperlink r:id="rId251" ref="J251"/>
    <hyperlink r:id="rId252" ref="J252"/>
    <hyperlink r:id="rId253" ref="J253"/>
    <hyperlink r:id="rId254" ref="J254"/>
    <hyperlink r:id="rId255" ref="J255"/>
    <hyperlink r:id="rId256" ref="J256"/>
    <hyperlink r:id="rId257" ref="J257"/>
    <hyperlink r:id="rId258" ref="J258"/>
    <hyperlink r:id="rId259" ref="J259"/>
    <hyperlink r:id="rId260" ref="J260"/>
    <hyperlink r:id="rId261" ref="J261"/>
    <hyperlink r:id="rId262" ref="J262"/>
    <hyperlink r:id="rId263" ref="J263"/>
    <hyperlink r:id="rId264" ref="J264"/>
    <hyperlink r:id="rId265" ref="J265"/>
    <hyperlink r:id="rId266" ref="J266"/>
    <hyperlink r:id="rId267" ref="J267"/>
    <hyperlink r:id="rId268" ref="J268"/>
    <hyperlink r:id="rId269" ref="J269"/>
    <hyperlink r:id="rId270" ref="J270"/>
    <hyperlink r:id="rId271" ref="J271"/>
    <hyperlink r:id="rId272" ref="J272"/>
    <hyperlink r:id="rId273" ref="J273"/>
    <hyperlink r:id="rId274" ref="J274"/>
    <hyperlink r:id="rId275" ref="J275"/>
    <hyperlink r:id="rId276" ref="J276"/>
    <hyperlink r:id="rId277" ref="J277"/>
    <hyperlink r:id="rId278" ref="J278"/>
    <hyperlink r:id="rId279" ref="J279"/>
    <hyperlink r:id="rId280" ref="J280"/>
    <hyperlink r:id="rId281" ref="J281"/>
    <hyperlink r:id="rId282" ref="J282"/>
    <hyperlink r:id="rId283" ref="J283"/>
    <hyperlink r:id="rId284" ref="J284"/>
    <hyperlink r:id="rId285" ref="J285"/>
    <hyperlink r:id="rId286" ref="J286"/>
    <hyperlink r:id="rId287" ref="J287"/>
    <hyperlink r:id="rId288" ref="J288"/>
    <hyperlink r:id="rId289" ref="J289"/>
    <hyperlink r:id="rId290" ref="J290"/>
    <hyperlink r:id="rId291" ref="J291"/>
    <hyperlink r:id="rId292" ref="J292"/>
    <hyperlink r:id="rId293" ref="J293"/>
    <hyperlink r:id="rId294" ref="J294"/>
    <hyperlink r:id="rId295" ref="J295"/>
    <hyperlink r:id="rId296" ref="J296"/>
    <hyperlink r:id="rId297" ref="J297"/>
    <hyperlink r:id="rId298" ref="J298"/>
    <hyperlink r:id="rId299" ref="J299"/>
    <hyperlink r:id="rId300" ref="J300"/>
    <hyperlink r:id="rId301" ref="J301"/>
    <hyperlink r:id="rId302" ref="J302"/>
    <hyperlink r:id="rId303" ref="J303"/>
    <hyperlink r:id="rId304" ref="J304"/>
    <hyperlink r:id="rId305" ref="J305"/>
    <hyperlink r:id="rId306" ref="J306"/>
    <hyperlink r:id="rId307" ref="J307"/>
    <hyperlink r:id="rId308" ref="J308"/>
    <hyperlink r:id="rId309" ref="J309"/>
    <hyperlink r:id="rId310" ref="J310"/>
    <hyperlink r:id="rId311" ref="J311"/>
    <hyperlink r:id="rId312" ref="J312"/>
    <hyperlink r:id="rId313" ref="J313"/>
    <hyperlink r:id="rId314" ref="J314"/>
    <hyperlink r:id="rId315" ref="J315"/>
    <hyperlink r:id="rId316" ref="J316"/>
    <hyperlink r:id="rId317" ref="J317"/>
    <hyperlink r:id="rId318" ref="J318"/>
    <hyperlink r:id="rId319" ref="J319"/>
    <hyperlink r:id="rId320" ref="J320"/>
    <hyperlink r:id="rId321" ref="J321"/>
    <hyperlink r:id="rId322" ref="J322"/>
    <hyperlink r:id="rId323" ref="J323"/>
    <hyperlink r:id="rId324" ref="J324"/>
    <hyperlink r:id="rId325" ref="J325"/>
    <hyperlink r:id="rId326" ref="J326"/>
    <hyperlink r:id="rId327" ref="J327"/>
    <hyperlink r:id="rId328" ref="J328"/>
    <hyperlink r:id="rId329" ref="J329"/>
    <hyperlink r:id="rId330" ref="J330"/>
    <hyperlink r:id="rId331" ref="J331"/>
    <hyperlink r:id="rId332" ref="J332"/>
    <hyperlink r:id="rId333" ref="J333"/>
    <hyperlink r:id="rId334" ref="J334"/>
    <hyperlink r:id="rId335" ref="J335"/>
    <hyperlink r:id="rId336" ref="J336"/>
    <hyperlink r:id="rId337" ref="J337"/>
    <hyperlink r:id="rId338" ref="J338"/>
    <hyperlink r:id="rId339" ref="J339"/>
    <hyperlink r:id="rId340" ref="J340"/>
    <hyperlink r:id="rId341" ref="J341"/>
    <hyperlink r:id="rId342" ref="J342"/>
    <hyperlink r:id="rId343" ref="J343"/>
    <hyperlink r:id="rId344" ref="J344"/>
    <hyperlink r:id="rId345" ref="J345"/>
    <hyperlink r:id="rId346" ref="J346"/>
    <hyperlink r:id="rId347" ref="J347"/>
    <hyperlink r:id="rId348" ref="J348"/>
    <hyperlink r:id="rId349" ref="J349"/>
    <hyperlink r:id="rId350" ref="J350"/>
    <hyperlink r:id="rId351" ref="J351"/>
    <hyperlink r:id="rId352" ref="J352"/>
    <hyperlink r:id="rId353" ref="J353"/>
    <hyperlink r:id="rId354" ref="J354"/>
    <hyperlink r:id="rId355" ref="J355"/>
    <hyperlink r:id="rId356" ref="J356"/>
    <hyperlink r:id="rId357" ref="J357"/>
    <hyperlink r:id="rId358" ref="J358"/>
    <hyperlink r:id="rId359" ref="J359"/>
    <hyperlink r:id="rId360" ref="J360"/>
    <hyperlink r:id="rId361" ref="J361"/>
    <hyperlink r:id="rId362" ref="J362"/>
    <hyperlink r:id="rId363" ref="J363"/>
    <hyperlink r:id="rId364" ref="J364"/>
    <hyperlink r:id="rId365" ref="J365"/>
    <hyperlink r:id="rId366" ref="J366"/>
    <hyperlink r:id="rId367" ref="J367"/>
    <hyperlink r:id="rId368" ref="J368"/>
    <hyperlink r:id="rId369" ref="J369"/>
    <hyperlink r:id="rId370" ref="J370"/>
    <hyperlink r:id="rId371" ref="J371"/>
    <hyperlink r:id="rId372" ref="J372"/>
    <hyperlink r:id="rId373" ref="J373"/>
    <hyperlink r:id="rId374" ref="J374"/>
    <hyperlink r:id="rId375" ref="J375"/>
    <hyperlink r:id="rId376" ref="J376"/>
    <hyperlink r:id="rId377" ref="J377"/>
    <hyperlink r:id="rId378" ref="J378"/>
    <hyperlink r:id="rId379" ref="J379"/>
    <hyperlink r:id="rId380" ref="J380"/>
    <hyperlink r:id="rId381" ref="J381"/>
    <hyperlink r:id="rId382" ref="J382"/>
    <hyperlink r:id="rId383" ref="J383"/>
    <hyperlink r:id="rId384" ref="J384"/>
    <hyperlink r:id="rId385" ref="J385"/>
    <hyperlink r:id="rId386" ref="J386"/>
    <hyperlink r:id="rId387" ref="J387"/>
    <hyperlink r:id="rId388" ref="J388"/>
    <hyperlink r:id="rId389" ref="J389"/>
    <hyperlink r:id="rId390" ref="J390"/>
    <hyperlink r:id="rId391" ref="J391"/>
    <hyperlink r:id="rId392" ref="J392"/>
    <hyperlink r:id="rId393" ref="J393"/>
    <hyperlink r:id="rId394" ref="J394"/>
    <hyperlink r:id="rId395" ref="J395"/>
    <hyperlink r:id="rId396" ref="J396"/>
    <hyperlink r:id="rId397" ref="J397"/>
    <hyperlink r:id="rId398" ref="J398"/>
    <hyperlink r:id="rId399" ref="J399"/>
    <hyperlink r:id="rId400" ref="J400"/>
    <hyperlink r:id="rId401" ref="J401"/>
    <hyperlink r:id="rId402" ref="J402"/>
    <hyperlink r:id="rId403" ref="J403"/>
    <hyperlink r:id="rId404" ref="J404"/>
    <hyperlink r:id="rId405" ref="J405"/>
    <hyperlink r:id="rId406" ref="J406"/>
    <hyperlink r:id="rId407" ref="J407"/>
    <hyperlink r:id="rId408" ref="J408"/>
    <hyperlink r:id="rId409" ref="J409"/>
    <hyperlink r:id="rId410" ref="J410"/>
    <hyperlink r:id="rId411" ref="J411"/>
    <hyperlink r:id="rId412" ref="J412"/>
    <hyperlink r:id="rId413" ref="J413"/>
    <hyperlink r:id="rId414" ref="J414"/>
    <hyperlink r:id="rId415" ref="J415"/>
    <hyperlink r:id="rId416" ref="J416"/>
    <hyperlink r:id="rId417" ref="J417"/>
    <hyperlink r:id="rId418" ref="J418"/>
    <hyperlink r:id="rId419" ref="J419"/>
    <hyperlink r:id="rId420" ref="J420"/>
    <hyperlink r:id="rId421" ref="J421"/>
    <hyperlink r:id="rId422" ref="J422"/>
    <hyperlink r:id="rId423" ref="J423"/>
    <hyperlink r:id="rId424" ref="J424"/>
    <hyperlink r:id="rId425" ref="J425"/>
    <hyperlink r:id="rId426" ref="J426"/>
    <hyperlink r:id="rId427" ref="J427"/>
    <hyperlink r:id="rId428" ref="J428"/>
    <hyperlink r:id="rId429" ref="J429"/>
    <hyperlink r:id="rId430" ref="J430"/>
    <hyperlink r:id="rId431" ref="J431"/>
    <hyperlink r:id="rId432" ref="J432"/>
    <hyperlink r:id="rId433" ref="J433"/>
    <hyperlink r:id="rId434" ref="J434"/>
    <hyperlink r:id="rId435" ref="J435"/>
    <hyperlink r:id="rId436" ref="J436"/>
    <hyperlink r:id="rId437" ref="J437"/>
    <hyperlink r:id="rId438" ref="J438"/>
    <hyperlink r:id="rId439" ref="J439"/>
    <hyperlink r:id="rId440" ref="J440"/>
    <hyperlink r:id="rId441" ref="J441"/>
    <hyperlink r:id="rId442" ref="J442"/>
    <hyperlink r:id="rId443" ref="J443"/>
    <hyperlink r:id="rId444" ref="J444"/>
    <hyperlink r:id="rId445" ref="J445"/>
    <hyperlink r:id="rId446" ref="J446"/>
    <hyperlink r:id="rId447" ref="J447"/>
    <hyperlink r:id="rId448" ref="J448"/>
    <hyperlink r:id="rId449" ref="J449"/>
    <hyperlink r:id="rId450" ref="J450"/>
    <hyperlink r:id="rId451" ref="J451"/>
    <hyperlink r:id="rId452" ref="J452"/>
    <hyperlink r:id="rId453" ref="J453"/>
    <hyperlink r:id="rId454" ref="J454"/>
    <hyperlink r:id="rId455" ref="J455"/>
    <hyperlink r:id="rId456" ref="J456"/>
    <hyperlink r:id="rId457" ref="J457"/>
    <hyperlink r:id="rId458" ref="J458"/>
    <hyperlink r:id="rId459" ref="J459"/>
    <hyperlink r:id="rId460" ref="J460"/>
    <hyperlink r:id="rId461" ref="J461"/>
    <hyperlink r:id="rId462" ref="J462"/>
    <hyperlink r:id="rId463" ref="J463"/>
    <hyperlink r:id="rId464" ref="J464"/>
    <hyperlink r:id="rId465" ref="J465"/>
    <hyperlink r:id="rId466" ref="J466"/>
    <hyperlink r:id="rId467" ref="J467"/>
    <hyperlink r:id="rId468" ref="J468"/>
    <hyperlink r:id="rId469" ref="J469"/>
    <hyperlink r:id="rId470" ref="J470"/>
    <hyperlink r:id="rId471" ref="J471"/>
    <hyperlink r:id="rId472" ref="J472"/>
    <hyperlink r:id="rId473" ref="J473"/>
    <hyperlink r:id="rId474" ref="J474"/>
    <hyperlink r:id="rId475" ref="J475"/>
    <hyperlink r:id="rId476" ref="J476"/>
    <hyperlink r:id="rId477" ref="J477"/>
    <hyperlink r:id="rId478" ref="J478"/>
    <hyperlink r:id="rId479" ref="J479"/>
    <hyperlink r:id="rId480" ref="J480"/>
    <hyperlink r:id="rId481" ref="J481"/>
    <hyperlink r:id="rId482" ref="J482"/>
    <hyperlink r:id="rId483" ref="J483"/>
    <hyperlink r:id="rId484" ref="J484"/>
    <hyperlink r:id="rId485" ref="J485"/>
    <hyperlink r:id="rId486" ref="J486"/>
    <hyperlink r:id="rId487" ref="J487"/>
    <hyperlink r:id="rId488" ref="J488"/>
    <hyperlink r:id="rId489" ref="J489"/>
    <hyperlink r:id="rId490" ref="J490"/>
    <hyperlink r:id="rId491" ref="J491"/>
    <hyperlink r:id="rId492" ref="J492"/>
    <hyperlink r:id="rId493" ref="J493"/>
    <hyperlink r:id="rId494" ref="J494"/>
    <hyperlink r:id="rId495" ref="J495"/>
    <hyperlink r:id="rId496" ref="J496"/>
    <hyperlink r:id="rId497" ref="J497"/>
    <hyperlink r:id="rId498" ref="J498"/>
    <hyperlink r:id="rId499" ref="J499"/>
    <hyperlink r:id="rId500" ref="J500"/>
    <hyperlink r:id="rId501" ref="J501"/>
    <hyperlink r:id="rId502" ref="J502"/>
    <hyperlink r:id="rId503" ref="J503"/>
    <hyperlink r:id="rId504" ref="J504"/>
    <hyperlink r:id="rId505" ref="J505"/>
    <hyperlink r:id="rId506" ref="J506"/>
    <hyperlink r:id="rId507" ref="J507"/>
    <hyperlink r:id="rId508" ref="J508"/>
    <hyperlink r:id="rId509" ref="J509"/>
    <hyperlink r:id="rId510" ref="J510"/>
    <hyperlink r:id="rId511" ref="J511"/>
    <hyperlink r:id="rId512" ref="J512"/>
    <hyperlink r:id="rId513" ref="J513"/>
    <hyperlink r:id="rId514" ref="J514"/>
    <hyperlink r:id="rId515" ref="J515"/>
    <hyperlink r:id="rId516" ref="J516"/>
    <hyperlink r:id="rId517" ref="J517"/>
    <hyperlink r:id="rId518" ref="J518"/>
    <hyperlink r:id="rId519" ref="J519"/>
    <hyperlink r:id="rId520" ref="J520"/>
    <hyperlink r:id="rId521" ref="J521"/>
    <hyperlink r:id="rId522" ref="J522"/>
    <hyperlink r:id="rId523" ref="J523"/>
    <hyperlink r:id="rId524" ref="J524"/>
    <hyperlink r:id="rId525" ref="J525"/>
    <hyperlink r:id="rId526" ref="J526"/>
    <hyperlink r:id="rId527" ref="J527"/>
    <hyperlink r:id="rId528" ref="J528"/>
    <hyperlink r:id="rId529" ref="J529"/>
    <hyperlink r:id="rId530" ref="J530"/>
    <hyperlink r:id="rId531" ref="J531"/>
    <hyperlink r:id="rId532" ref="J532"/>
    <hyperlink r:id="rId533" ref="J533"/>
    <hyperlink r:id="rId534" ref="J534"/>
    <hyperlink r:id="rId535" ref="J535"/>
    <hyperlink r:id="rId536" ref="J536"/>
    <hyperlink r:id="rId537" ref="J537"/>
    <hyperlink r:id="rId538" ref="J538"/>
    <hyperlink r:id="rId539" ref="J539"/>
    <hyperlink r:id="rId540" ref="J540"/>
    <hyperlink r:id="rId541" ref="J541"/>
    <hyperlink r:id="rId542" ref="J542"/>
    <hyperlink r:id="rId543" ref="J543"/>
    <hyperlink r:id="rId544" ref="J544"/>
    <hyperlink r:id="rId545" ref="J545"/>
    <hyperlink r:id="rId546" ref="J546"/>
    <hyperlink r:id="rId547" ref="J547"/>
    <hyperlink r:id="rId548" ref="J548"/>
    <hyperlink r:id="rId549" ref="J549"/>
    <hyperlink r:id="rId550" ref="J550"/>
    <hyperlink r:id="rId551" ref="J551"/>
    <hyperlink r:id="rId552" ref="J552"/>
    <hyperlink r:id="rId553" ref="J553"/>
    <hyperlink r:id="rId554" ref="J554"/>
    <hyperlink r:id="rId555" ref="J555"/>
    <hyperlink r:id="rId556" ref="J556"/>
    <hyperlink r:id="rId557" ref="J557"/>
    <hyperlink r:id="rId558" ref="J558"/>
    <hyperlink r:id="rId559" ref="J559"/>
    <hyperlink r:id="rId560" ref="J560"/>
    <hyperlink r:id="rId561" ref="J561"/>
    <hyperlink r:id="rId562" ref="J562"/>
    <hyperlink r:id="rId563" ref="J563"/>
    <hyperlink r:id="rId564" ref="J564"/>
    <hyperlink r:id="rId565" ref="J565"/>
    <hyperlink r:id="rId566" ref="J566"/>
    <hyperlink r:id="rId567" ref="J567"/>
    <hyperlink r:id="rId568" ref="J568"/>
    <hyperlink r:id="rId569" ref="J569"/>
    <hyperlink r:id="rId570" ref="J570"/>
    <hyperlink r:id="rId571" ref="J571"/>
    <hyperlink r:id="rId572" ref="J572"/>
    <hyperlink r:id="rId573" ref="J573"/>
    <hyperlink r:id="rId574" ref="J574"/>
    <hyperlink r:id="rId575" ref="J575"/>
    <hyperlink r:id="rId576" ref="J576"/>
    <hyperlink r:id="rId577" ref="J577"/>
    <hyperlink r:id="rId578" ref="J578"/>
    <hyperlink r:id="rId579" ref="J579"/>
    <hyperlink r:id="rId580" ref="J580"/>
    <hyperlink r:id="rId581" ref="J581"/>
    <hyperlink r:id="rId582" ref="J582"/>
    <hyperlink r:id="rId583" ref="J583"/>
    <hyperlink r:id="rId584" ref="J584"/>
    <hyperlink r:id="rId585" ref="J585"/>
    <hyperlink r:id="rId586" ref="J586"/>
    <hyperlink r:id="rId587" ref="J587"/>
    <hyperlink r:id="rId588" ref="J588"/>
    <hyperlink r:id="rId589" ref="J589"/>
    <hyperlink r:id="rId590" ref="J590"/>
    <hyperlink r:id="rId591" ref="J591"/>
    <hyperlink r:id="rId592" ref="J592"/>
    <hyperlink r:id="rId593" ref="J593"/>
    <hyperlink r:id="rId594" ref="J594"/>
    <hyperlink r:id="rId595" ref="J595"/>
    <hyperlink r:id="rId596" ref="J596"/>
    <hyperlink r:id="rId597" ref="J597"/>
    <hyperlink r:id="rId598" ref="J598"/>
    <hyperlink r:id="rId599" ref="J599"/>
    <hyperlink r:id="rId600" ref="J600"/>
    <hyperlink r:id="rId601" ref="J601"/>
    <hyperlink r:id="rId602" ref="J602"/>
    <hyperlink r:id="rId603" ref="J603"/>
    <hyperlink r:id="rId604" ref="J604"/>
    <hyperlink r:id="rId605" ref="J605"/>
    <hyperlink r:id="rId606" ref="J606"/>
    <hyperlink r:id="rId607" ref="J607"/>
    <hyperlink r:id="rId608" ref="J608"/>
    <hyperlink r:id="rId609" ref="J609"/>
    <hyperlink r:id="rId610" ref="J610"/>
    <hyperlink r:id="rId611" ref="J611"/>
    <hyperlink r:id="rId612" ref="J612"/>
    <hyperlink r:id="rId613" ref="J613"/>
    <hyperlink r:id="rId614" ref="J614"/>
    <hyperlink r:id="rId615" ref="J615"/>
    <hyperlink r:id="rId616" ref="J616"/>
    <hyperlink r:id="rId617" ref="J617"/>
    <hyperlink r:id="rId618" ref="J618"/>
    <hyperlink r:id="rId619" ref="J619"/>
    <hyperlink r:id="rId620" ref="J620"/>
    <hyperlink r:id="rId621" ref="J621"/>
    <hyperlink r:id="rId622" ref="J622"/>
    <hyperlink r:id="rId623" ref="J623"/>
    <hyperlink r:id="rId624" ref="J624"/>
    <hyperlink r:id="rId625" ref="J625"/>
    <hyperlink r:id="rId626" ref="J626"/>
  </hyperlinks>
  <drawing r:id="rId627"/>
  <legacyDrawing r:id="rId6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43.57"/>
  </cols>
  <sheetData>
    <row r="1">
      <c r="A1" s="7" t="s">
        <v>0</v>
      </c>
      <c r="B1" s="7" t="s">
        <v>2125</v>
      </c>
      <c r="C1" s="7" t="s">
        <v>145</v>
      </c>
      <c r="D1" s="7" t="s">
        <v>146</v>
      </c>
      <c r="E1" s="7" t="s">
        <v>2126</v>
      </c>
      <c r="F1" s="7" t="s">
        <v>2127</v>
      </c>
      <c r="G1" s="7" t="s">
        <v>2128</v>
      </c>
      <c r="H1" s="7" t="s">
        <v>10</v>
      </c>
      <c r="I1" s="7" t="s">
        <v>2129</v>
      </c>
    </row>
    <row r="2">
      <c r="A2" s="2">
        <v>3287.0</v>
      </c>
      <c r="B2" s="2">
        <v>20.0</v>
      </c>
      <c r="C2" s="2">
        <v>1.0</v>
      </c>
      <c r="D2" s="2" t="s">
        <v>213</v>
      </c>
      <c r="E2" s="2" t="s">
        <v>2130</v>
      </c>
      <c r="H2" s="2">
        <v>1.0</v>
      </c>
      <c r="I2" s="2">
        <v>0.0</v>
      </c>
      <c r="K2" s="8" t="str">
        <f t="shared" ref="K2:K1544" si="1">CONCATENATE("CALL InsertOrUpdateAtributosProductos ('",A2,"','",B2,"','",C2,"','",D2,"','",E2,"','",H2,"','",I2,"');")</f>
        <v>CALL InsertOrUpdateAtributosProductos ('3287','20','1','FRAGANCIA','Laverrap','1','0');</v>
      </c>
    </row>
    <row r="3">
      <c r="A3" s="2">
        <v>3288.0</v>
      </c>
      <c r="B3" s="2">
        <v>20.0</v>
      </c>
      <c r="C3" s="2">
        <v>1.0</v>
      </c>
      <c r="D3" s="2" t="s">
        <v>213</v>
      </c>
      <c r="E3" s="2" t="s">
        <v>2131</v>
      </c>
      <c r="H3" s="2">
        <v>2.0</v>
      </c>
      <c r="I3" s="2">
        <v>0.0</v>
      </c>
      <c r="K3" s="8" t="str">
        <f t="shared" si="1"/>
        <v>CALL InsertOrUpdateAtributosProductos ('3288','20','1','FRAGANCIA','Vainilla','2','0');</v>
      </c>
    </row>
    <row r="4">
      <c r="A4" s="2">
        <v>3289.0</v>
      </c>
      <c r="B4" s="2">
        <v>20.0</v>
      </c>
      <c r="C4" s="2">
        <v>1.0</v>
      </c>
      <c r="D4" s="2" t="s">
        <v>213</v>
      </c>
      <c r="E4" s="2" t="s">
        <v>2132</v>
      </c>
      <c r="H4" s="2">
        <v>3.0</v>
      </c>
      <c r="I4" s="2">
        <v>0.0</v>
      </c>
      <c r="K4" s="8" t="str">
        <f t="shared" si="1"/>
        <v>CALL InsertOrUpdateAtributosProductos ('3289','20','1','FRAGANCIA','Confy','3','0');</v>
      </c>
    </row>
    <row r="5">
      <c r="A5" s="2">
        <v>3290.0</v>
      </c>
      <c r="B5" s="2">
        <v>41.0</v>
      </c>
      <c r="C5" s="2">
        <v>2.0</v>
      </c>
      <c r="D5" s="2" t="s">
        <v>259</v>
      </c>
      <c r="E5" s="2" t="s">
        <v>2133</v>
      </c>
      <c r="H5" s="2">
        <v>1.0</v>
      </c>
      <c r="I5" s="2">
        <v>0.0</v>
      </c>
      <c r="K5" s="8" t="str">
        <f t="shared" si="1"/>
        <v>CALL InsertOrUpdateAtributosProductos ('3290','41','2','TIPO','Consorcio 80 x 110 cm','1','0');</v>
      </c>
    </row>
    <row r="6">
      <c r="A6" s="2">
        <v>3291.0</v>
      </c>
      <c r="B6" s="2">
        <v>41.0</v>
      </c>
      <c r="C6" s="2">
        <v>2.0</v>
      </c>
      <c r="D6" s="2" t="s">
        <v>259</v>
      </c>
      <c r="E6" s="2" t="s">
        <v>2134</v>
      </c>
      <c r="H6" s="2">
        <v>2.0</v>
      </c>
      <c r="I6" s="2">
        <v>0.0</v>
      </c>
      <c r="K6" s="8" t="str">
        <f t="shared" si="1"/>
        <v>CALL InsertOrUpdateAtributosProductos ('3291','41','2','TIPO','Negra 45 x 60 cm','2','0');</v>
      </c>
    </row>
    <row r="7">
      <c r="A7" s="2">
        <v>3292.0</v>
      </c>
      <c r="B7" s="2">
        <v>41.0</v>
      </c>
      <c r="C7" s="2">
        <v>2.0</v>
      </c>
      <c r="D7" s="2" t="s">
        <v>259</v>
      </c>
      <c r="E7" s="2" t="s">
        <v>2135</v>
      </c>
      <c r="H7" s="2">
        <v>3.0</v>
      </c>
      <c r="I7" s="2">
        <v>0.0</v>
      </c>
      <c r="K7" s="8" t="str">
        <f t="shared" si="1"/>
        <v>CALL InsertOrUpdateAtributosProductos ('3292','41','2','TIPO','Negra 60 x 90 cm','3','0');</v>
      </c>
    </row>
    <row r="8">
      <c r="A8" s="2">
        <v>3293.0</v>
      </c>
      <c r="B8" s="2">
        <v>41.0</v>
      </c>
      <c r="C8" s="2">
        <v>2.0</v>
      </c>
      <c r="D8" s="2" t="s">
        <v>259</v>
      </c>
      <c r="E8" s="2" t="s">
        <v>2136</v>
      </c>
      <c r="H8" s="2">
        <v>4.0</v>
      </c>
      <c r="I8" s="2">
        <v>0.0</v>
      </c>
      <c r="K8" s="8" t="str">
        <f t="shared" si="1"/>
        <v>CALL InsertOrUpdateAtributosProductos ('3293','41','2','TIPO','Negra 50 x 70 cm','4','0');</v>
      </c>
    </row>
    <row r="9">
      <c r="A9" s="2">
        <v>3294.0</v>
      </c>
      <c r="B9" s="2">
        <v>41.0</v>
      </c>
      <c r="C9" s="2">
        <v>2.0</v>
      </c>
      <c r="D9" s="2" t="s">
        <v>259</v>
      </c>
      <c r="E9" s="2" t="s">
        <v>2137</v>
      </c>
      <c r="H9" s="2">
        <v>5.0</v>
      </c>
      <c r="I9" s="2">
        <v>0.0</v>
      </c>
      <c r="K9" s="8" t="str">
        <f t="shared" si="1"/>
        <v>CALL InsertOrUpdateAtributosProductos ('3294','41','2','TIPO','Negra 80 x 100 cm','5','0');</v>
      </c>
    </row>
    <row r="10">
      <c r="A10" s="2">
        <v>3295.0</v>
      </c>
      <c r="B10" s="2">
        <v>41.0</v>
      </c>
      <c r="C10" s="2">
        <v>2.0</v>
      </c>
      <c r="D10" s="2" t="s">
        <v>259</v>
      </c>
      <c r="E10" s="2" t="s">
        <v>2138</v>
      </c>
      <c r="H10" s="2">
        <v>6.0</v>
      </c>
      <c r="I10" s="2">
        <v>0.0</v>
      </c>
      <c r="K10" s="8" t="str">
        <f t="shared" si="1"/>
        <v>CALL InsertOrUpdateAtributosProductos ('3295','41','2','TIPO','Negra 90 x 110 cm','6','0');</v>
      </c>
    </row>
    <row r="11">
      <c r="A11" s="2">
        <v>3296.0</v>
      </c>
      <c r="B11" s="2">
        <v>41.0</v>
      </c>
      <c r="C11" s="2">
        <v>2.0</v>
      </c>
      <c r="D11" s="2" t="s">
        <v>259</v>
      </c>
      <c r="E11" s="2" t="s">
        <v>2139</v>
      </c>
      <c r="H11" s="2">
        <v>7.0</v>
      </c>
      <c r="I11" s="2">
        <v>0.0</v>
      </c>
      <c r="K11" s="8" t="str">
        <f t="shared" si="1"/>
        <v>CALL InsertOrUpdateAtributosProductos ('3296','41','2','TIPO','Cristal 50 x 70 cm','7','0');</v>
      </c>
    </row>
    <row r="12">
      <c r="A12" s="2">
        <v>3297.0</v>
      </c>
      <c r="B12" s="2">
        <v>41.0</v>
      </c>
      <c r="C12" s="2">
        <v>2.0</v>
      </c>
      <c r="D12" s="2" t="s">
        <v>259</v>
      </c>
      <c r="E12" s="2" t="s">
        <v>2140</v>
      </c>
      <c r="H12" s="2">
        <v>8.0</v>
      </c>
      <c r="I12" s="2">
        <v>0.0</v>
      </c>
      <c r="K12" s="8" t="str">
        <f t="shared" si="1"/>
        <v>CALL InsertOrUpdateAtributosProductos ('3297','41','2','TIPO','Cristal 20 x 30 cm','8','0');</v>
      </c>
    </row>
    <row r="13">
      <c r="A13" s="2">
        <v>3298.0</v>
      </c>
      <c r="B13" s="2">
        <v>41.0</v>
      </c>
      <c r="C13" s="2">
        <v>2.0</v>
      </c>
      <c r="D13" s="2" t="s">
        <v>259</v>
      </c>
      <c r="E13" s="2" t="s">
        <v>2141</v>
      </c>
      <c r="H13" s="2">
        <v>9.0</v>
      </c>
      <c r="I13" s="2">
        <v>0.0</v>
      </c>
      <c r="K13" s="8" t="str">
        <f t="shared" si="1"/>
        <v>CALL InsertOrUpdateAtributosProductos ('3298','41','2','TIPO','Cristal 25 x 35 cm','9','0');</v>
      </c>
    </row>
    <row r="14">
      <c r="A14" s="2">
        <v>3299.0</v>
      </c>
      <c r="B14" s="2">
        <v>41.0</v>
      </c>
      <c r="C14" s="2">
        <v>2.0</v>
      </c>
      <c r="D14" s="2" t="s">
        <v>259</v>
      </c>
      <c r="E14" s="2" t="s">
        <v>2142</v>
      </c>
      <c r="H14" s="2">
        <v>10.0</v>
      </c>
      <c r="I14" s="2">
        <v>0.0</v>
      </c>
      <c r="K14" s="8" t="str">
        <f t="shared" si="1"/>
        <v>CALL InsertOrUpdateAtributosProductos ('3299','41','2','TIPO','Cristal 80 x 100 cm','10','0');</v>
      </c>
    </row>
    <row r="15">
      <c r="A15" s="2">
        <v>3300.0</v>
      </c>
      <c r="B15" s="2">
        <v>41.0</v>
      </c>
      <c r="C15" s="2">
        <v>2.0</v>
      </c>
      <c r="D15" s="2" t="s">
        <v>259</v>
      </c>
      <c r="E15" s="2" t="s">
        <v>2143</v>
      </c>
      <c r="H15" s="2">
        <v>11.0</v>
      </c>
      <c r="I15" s="2">
        <v>0.0</v>
      </c>
      <c r="K15" s="8" t="str">
        <f t="shared" si="1"/>
        <v>CALL InsertOrUpdateAtributosProductos ('3300','41','2','TIPO','Roja 60 x 90 cm','11','0');</v>
      </c>
    </row>
    <row r="16">
      <c r="A16" s="2">
        <v>3301.0</v>
      </c>
      <c r="B16" s="2">
        <v>41.0</v>
      </c>
      <c r="C16" s="2">
        <v>2.0</v>
      </c>
      <c r="D16" s="2" t="s">
        <v>259</v>
      </c>
      <c r="E16" s="2" t="s">
        <v>2144</v>
      </c>
      <c r="H16" s="2">
        <v>12.0</v>
      </c>
      <c r="I16" s="2">
        <v>0.0</v>
      </c>
      <c r="K16" s="8" t="str">
        <f t="shared" si="1"/>
        <v>CALL InsertOrUpdateAtributosProductos ('3301','41','2','TIPO','Roja 80 x 100 cm','12','0');</v>
      </c>
    </row>
    <row r="17">
      <c r="A17" s="2">
        <v>3302.0</v>
      </c>
      <c r="B17" s="2">
        <v>41.0</v>
      </c>
      <c r="C17" s="2">
        <v>2.0</v>
      </c>
      <c r="D17" s="2" t="s">
        <v>259</v>
      </c>
      <c r="E17" s="2" t="s">
        <v>2145</v>
      </c>
      <c r="H17" s="2">
        <v>13.0</v>
      </c>
      <c r="I17" s="2">
        <v>0.0</v>
      </c>
      <c r="K17" s="8" t="str">
        <f t="shared" si="1"/>
        <v>CALL InsertOrUpdateAtributosProductos ('3302','41','2','TIPO','Verde 80 x 100 cm','13','0');</v>
      </c>
    </row>
    <row r="18">
      <c r="A18" s="2">
        <v>3303.0</v>
      </c>
      <c r="B18" s="2">
        <v>41.0</v>
      </c>
      <c r="C18" s="2">
        <v>2.0</v>
      </c>
      <c r="D18" s="2" t="s">
        <v>259</v>
      </c>
      <c r="E18" s="2" t="s">
        <v>2146</v>
      </c>
      <c r="H18" s="2">
        <v>14.0</v>
      </c>
      <c r="I18" s="2">
        <v>0.0</v>
      </c>
      <c r="K18" s="8" t="str">
        <f t="shared" si="1"/>
        <v>CALL InsertOrUpdateAtributosProductos ('3303','41','2','TIPO','Gastronómica 80 x 100 cm','14','0');</v>
      </c>
    </row>
    <row r="19">
      <c r="A19" s="2">
        <v>3304.0</v>
      </c>
      <c r="B19" s="2">
        <v>42.0</v>
      </c>
      <c r="C19" s="2">
        <v>3.0</v>
      </c>
      <c r="D19" s="2" t="s">
        <v>263</v>
      </c>
      <c r="E19" s="2" t="s">
        <v>2147</v>
      </c>
      <c r="H19" s="2">
        <v>1.0</v>
      </c>
      <c r="I19" s="2">
        <v>0.0</v>
      </c>
      <c r="K19" s="8" t="str">
        <f t="shared" si="1"/>
        <v>CALL InsertOrUpdateAtributosProductos ('3304','42','3','MEDIDAS','40 x 50 cm','1','0');</v>
      </c>
    </row>
    <row r="20">
      <c r="A20" s="2">
        <v>3305.0</v>
      </c>
      <c r="B20" s="2">
        <v>42.0</v>
      </c>
      <c r="C20" s="2">
        <v>3.0</v>
      </c>
      <c r="D20" s="2" t="s">
        <v>263</v>
      </c>
      <c r="E20" s="2" t="s">
        <v>2148</v>
      </c>
      <c r="H20" s="2">
        <v>2.0</v>
      </c>
      <c r="I20" s="2">
        <v>0.0</v>
      </c>
      <c r="K20" s="8" t="str">
        <f t="shared" si="1"/>
        <v>CALL InsertOrUpdateAtributosProductos ('3305','42','3','MEDIDAS','50 x 60 cm','2','0');</v>
      </c>
    </row>
    <row r="21">
      <c r="A21" s="2">
        <v>3306.0</v>
      </c>
      <c r="B21" s="2">
        <v>45.0</v>
      </c>
      <c r="C21" s="2">
        <v>3.0</v>
      </c>
      <c r="D21" s="2" t="s">
        <v>263</v>
      </c>
      <c r="E21" s="2" t="s">
        <v>2149</v>
      </c>
      <c r="H21" s="2">
        <v>1.0</v>
      </c>
      <c r="I21" s="2">
        <v>0.0</v>
      </c>
      <c r="K21" s="8" t="str">
        <f t="shared" si="1"/>
        <v>CALL InsertOrUpdateAtributosProductos ('3306','45','3','MEDIDAS','30 cm','1','0');</v>
      </c>
    </row>
    <row r="22">
      <c r="A22" s="2">
        <v>3307.0</v>
      </c>
      <c r="B22" s="2">
        <v>45.0</v>
      </c>
      <c r="C22" s="2">
        <v>3.0</v>
      </c>
      <c r="D22" s="2" t="s">
        <v>263</v>
      </c>
      <c r="E22" s="2" t="s">
        <v>2150</v>
      </c>
      <c r="H22" s="2">
        <v>2.0</v>
      </c>
      <c r="I22" s="2">
        <v>0.0</v>
      </c>
      <c r="K22" s="8" t="str">
        <f t="shared" si="1"/>
        <v>CALL InsertOrUpdateAtributosProductos ('3307','45','3','MEDIDAS','80 cm','2','0');</v>
      </c>
    </row>
    <row r="23">
      <c r="A23" s="2">
        <v>3308.0</v>
      </c>
      <c r="B23" s="2">
        <v>45.0</v>
      </c>
      <c r="C23" s="2">
        <v>3.0</v>
      </c>
      <c r="D23" s="2" t="s">
        <v>263</v>
      </c>
      <c r="E23" s="2" t="s">
        <v>2151</v>
      </c>
      <c r="H23" s="2">
        <v>3.0</v>
      </c>
      <c r="I23" s="2">
        <v>0.0</v>
      </c>
      <c r="K23" s="8" t="str">
        <f t="shared" si="1"/>
        <v>CALL InsertOrUpdateAtributosProductos ('3308','45','3','MEDIDAS','100 cm','3','0');</v>
      </c>
    </row>
    <row r="24">
      <c r="A24" s="2">
        <v>3309.0</v>
      </c>
      <c r="B24" s="2">
        <v>46.0</v>
      </c>
      <c r="C24" s="2">
        <v>3.0</v>
      </c>
      <c r="D24" s="2" t="s">
        <v>263</v>
      </c>
      <c r="E24" s="2" t="s">
        <v>2149</v>
      </c>
      <c r="H24" s="2">
        <v>1.0</v>
      </c>
      <c r="I24" s="2">
        <v>0.0</v>
      </c>
      <c r="K24" s="8" t="str">
        <f t="shared" si="1"/>
        <v>CALL InsertOrUpdateAtributosProductos ('3309','46','3','MEDIDAS','30 cm','1','0');</v>
      </c>
    </row>
    <row r="25">
      <c r="A25" s="2">
        <v>3310.0</v>
      </c>
      <c r="B25" s="2">
        <v>46.0</v>
      </c>
      <c r="C25" s="2">
        <v>3.0</v>
      </c>
      <c r="D25" s="2" t="s">
        <v>263</v>
      </c>
      <c r="E25" s="2" t="s">
        <v>2152</v>
      </c>
      <c r="H25" s="2">
        <v>2.0</v>
      </c>
      <c r="I25" s="2">
        <v>0.0</v>
      </c>
      <c r="K25" s="8" t="str">
        <f t="shared" si="1"/>
        <v>CALL InsertOrUpdateAtributosProductos ('3310','46','3','MEDIDAS','60 cm','2','0');</v>
      </c>
    </row>
    <row r="26">
      <c r="A26" s="2">
        <v>3311.0</v>
      </c>
      <c r="B26" s="2">
        <v>46.0</v>
      </c>
      <c r="C26" s="2">
        <v>3.0</v>
      </c>
      <c r="D26" s="2" t="s">
        <v>263</v>
      </c>
      <c r="E26" s="2" t="s">
        <v>2150</v>
      </c>
      <c r="H26" s="2">
        <v>3.0</v>
      </c>
      <c r="I26" s="2">
        <v>0.0</v>
      </c>
      <c r="K26" s="8" t="str">
        <f t="shared" si="1"/>
        <v>CALL InsertOrUpdateAtributosProductos ('3311','46','3','MEDIDAS','80 cm','3','0');</v>
      </c>
    </row>
    <row r="27">
      <c r="A27" s="2">
        <v>3312.0</v>
      </c>
      <c r="B27" s="2">
        <v>46.0</v>
      </c>
      <c r="C27" s="2">
        <v>3.0</v>
      </c>
      <c r="D27" s="2" t="s">
        <v>263</v>
      </c>
      <c r="E27" s="2" t="s">
        <v>2151</v>
      </c>
      <c r="H27" s="2">
        <v>4.0</v>
      </c>
      <c r="I27" s="2">
        <v>0.0</v>
      </c>
      <c r="K27" s="8" t="str">
        <f t="shared" si="1"/>
        <v>CALL InsertOrUpdateAtributosProductos ('3312','46','3','MEDIDAS','100 cm','4','0');</v>
      </c>
    </row>
    <row r="28">
      <c r="A28" s="2">
        <v>3313.0</v>
      </c>
      <c r="B28" s="2">
        <v>47.0</v>
      </c>
      <c r="C28" s="2">
        <v>3.0</v>
      </c>
      <c r="D28" s="2" t="s">
        <v>263</v>
      </c>
      <c r="E28" s="2" t="s">
        <v>2149</v>
      </c>
      <c r="H28" s="2">
        <v>1.0</v>
      </c>
      <c r="I28" s="2">
        <v>0.0</v>
      </c>
      <c r="K28" s="8" t="str">
        <f t="shared" si="1"/>
        <v>CALL InsertOrUpdateAtributosProductos ('3313','47','3','MEDIDAS','30 cm','1','0');</v>
      </c>
    </row>
    <row r="29">
      <c r="A29" s="2">
        <v>3314.0</v>
      </c>
      <c r="B29" s="2">
        <v>47.0</v>
      </c>
      <c r="C29" s="2">
        <v>3.0</v>
      </c>
      <c r="D29" s="2" t="s">
        <v>263</v>
      </c>
      <c r="E29" s="2" t="s">
        <v>2153</v>
      </c>
      <c r="H29" s="2">
        <v>2.0</v>
      </c>
      <c r="I29" s="2">
        <v>0.0</v>
      </c>
      <c r="K29" s="8" t="str">
        <f t="shared" si="1"/>
        <v>CALL InsertOrUpdateAtributosProductos ('3314','47','3','MEDIDAS','40 cm','2','0');</v>
      </c>
    </row>
    <row r="30">
      <c r="A30" s="2">
        <v>3315.0</v>
      </c>
      <c r="B30" s="2">
        <v>47.0</v>
      </c>
      <c r="C30" s="2">
        <v>3.0</v>
      </c>
      <c r="D30" s="2" t="s">
        <v>263</v>
      </c>
      <c r="E30" s="2" t="s">
        <v>2154</v>
      </c>
      <c r="H30" s="2">
        <v>3.0</v>
      </c>
      <c r="I30" s="2">
        <v>0.0</v>
      </c>
      <c r="K30" s="8" t="str">
        <f t="shared" si="1"/>
        <v>CALL InsertOrUpdateAtributosProductos ('3315','47','3','MEDIDAS','50 cm','3','0');</v>
      </c>
    </row>
    <row r="31">
      <c r="A31" s="2">
        <v>3316.0</v>
      </c>
      <c r="B31" s="2">
        <v>47.0</v>
      </c>
      <c r="C31" s="2">
        <v>3.0</v>
      </c>
      <c r="D31" s="2" t="s">
        <v>263</v>
      </c>
      <c r="E31" s="2" t="s">
        <v>2150</v>
      </c>
      <c r="H31" s="2">
        <v>4.0</v>
      </c>
      <c r="I31" s="2">
        <v>0.0</v>
      </c>
      <c r="K31" s="8" t="str">
        <f t="shared" si="1"/>
        <v>CALL InsertOrUpdateAtributosProductos ('3316','47','3','MEDIDAS','80 cm','4','0');</v>
      </c>
    </row>
    <row r="32">
      <c r="A32" s="2">
        <v>3317.0</v>
      </c>
      <c r="B32" s="2">
        <v>48.0</v>
      </c>
      <c r="C32" s="2">
        <v>2.0</v>
      </c>
      <c r="D32" s="2" t="s">
        <v>259</v>
      </c>
      <c r="E32" s="2" t="s">
        <v>2155</v>
      </c>
      <c r="H32" s="2">
        <v>1.0</v>
      </c>
      <c r="I32" s="2">
        <v>0.0</v>
      </c>
      <c r="K32" s="8" t="str">
        <f t="shared" si="1"/>
        <v>CALL InsertOrUpdateAtributosProductos ('3317','48','2','TIPO','Con base','1','0');</v>
      </c>
    </row>
    <row r="33">
      <c r="A33" s="2">
        <v>3318.0</v>
      </c>
      <c r="B33" s="2">
        <v>48.0</v>
      </c>
      <c r="C33" s="2">
        <v>2.0</v>
      </c>
      <c r="D33" s="2" t="s">
        <v>259</v>
      </c>
      <c r="E33" s="2" t="s">
        <v>2156</v>
      </c>
      <c r="H33" s="2">
        <v>2.0</v>
      </c>
      <c r="I33" s="2">
        <v>0.0</v>
      </c>
      <c r="K33" s="8" t="str">
        <f t="shared" si="1"/>
        <v>CALL InsertOrUpdateAtributosProductos ('3318','48','2','TIPO','Sin base','2','0');</v>
      </c>
    </row>
    <row r="34">
      <c r="A34" s="2">
        <v>3319.0</v>
      </c>
      <c r="B34" s="2">
        <v>49.0</v>
      </c>
      <c r="C34" s="2">
        <v>2.0</v>
      </c>
      <c r="D34" s="2" t="s">
        <v>259</v>
      </c>
      <c r="E34" s="2" t="s">
        <v>2157</v>
      </c>
      <c r="H34" s="2">
        <v>1.0</v>
      </c>
      <c r="I34" s="2">
        <v>0.0</v>
      </c>
      <c r="K34" s="8" t="str">
        <f t="shared" si="1"/>
        <v>CALL InsertOrUpdateAtributosProductos ('3319','49','2','TIPO','Microfribra','1','0');</v>
      </c>
    </row>
    <row r="35">
      <c r="A35" s="2">
        <v>3320.0</v>
      </c>
      <c r="B35" s="2">
        <v>49.0</v>
      </c>
      <c r="C35" s="2">
        <v>2.0</v>
      </c>
      <c r="D35" s="2" t="s">
        <v>259</v>
      </c>
      <c r="E35" s="2" t="s">
        <v>2158</v>
      </c>
      <c r="H35" s="2">
        <v>2.0</v>
      </c>
      <c r="I35" s="2">
        <v>0.0</v>
      </c>
      <c r="K35" s="8" t="str">
        <f t="shared" si="1"/>
        <v>CALL InsertOrUpdateAtributosProductos ('3320','49','2','TIPO','Pluma','2','0');</v>
      </c>
    </row>
    <row r="36">
      <c r="A36" s="2">
        <v>3321.0</v>
      </c>
      <c r="B36" s="2">
        <v>49.0</v>
      </c>
      <c r="C36" s="2">
        <v>2.0</v>
      </c>
      <c r="D36" s="2" t="s">
        <v>259</v>
      </c>
      <c r="E36" s="2" t="s">
        <v>2159</v>
      </c>
      <c r="H36" s="2">
        <v>2.0</v>
      </c>
      <c r="I36" s="2">
        <v>0.0</v>
      </c>
      <c r="K36" s="8" t="str">
        <f t="shared" si="1"/>
        <v>CALL InsertOrUpdateAtributosProductos ('3321','49','2','TIPO','Globo','2','0');</v>
      </c>
    </row>
    <row r="37">
      <c r="A37" s="2">
        <v>3322.0</v>
      </c>
      <c r="B37" s="2">
        <v>50.0</v>
      </c>
      <c r="C37" s="2">
        <v>2.0</v>
      </c>
      <c r="D37" s="2" t="s">
        <v>259</v>
      </c>
      <c r="E37" s="2" t="s">
        <v>2160</v>
      </c>
      <c r="H37" s="2">
        <v>1.0</v>
      </c>
      <c r="I37" s="2">
        <v>0.0</v>
      </c>
      <c r="K37" s="8" t="str">
        <f t="shared" si="1"/>
        <v>CALL InsertOrUpdateAtributosProductos ('3322','50','2','TIPO','Algodón 350 gr','1','0');</v>
      </c>
    </row>
    <row r="38">
      <c r="A38" s="2">
        <v>3323.0</v>
      </c>
      <c r="B38" s="2">
        <v>50.0</v>
      </c>
      <c r="C38" s="2">
        <v>2.0</v>
      </c>
      <c r="D38" s="2" t="s">
        <v>259</v>
      </c>
      <c r="E38" s="2" t="s">
        <v>2161</v>
      </c>
      <c r="H38" s="2">
        <v>2.0</v>
      </c>
      <c r="I38" s="2">
        <v>0.0</v>
      </c>
      <c r="K38" s="8" t="str">
        <f t="shared" si="1"/>
        <v>CALL InsertOrUpdateAtributosProductos ('3323','50','2','TIPO','Algodón 500 gr','2','0');</v>
      </c>
    </row>
    <row r="39">
      <c r="A39" s="2">
        <v>3324.0</v>
      </c>
      <c r="B39" s="2">
        <v>59.0</v>
      </c>
      <c r="C39" s="2">
        <v>4.0</v>
      </c>
      <c r="D39" s="2" t="s">
        <v>315</v>
      </c>
      <c r="E39" s="2" t="s">
        <v>2162</v>
      </c>
      <c r="H39" s="2">
        <v>1.0</v>
      </c>
      <c r="I39" s="2">
        <v>0.0</v>
      </c>
      <c r="K39" s="8" t="str">
        <f t="shared" si="1"/>
        <v>CALL InsertOrUpdateAtributosProductos ('3324','59','4','TALLE','Talle S','1','0');</v>
      </c>
    </row>
    <row r="40">
      <c r="A40" s="2">
        <v>3325.0</v>
      </c>
      <c r="B40" s="2">
        <v>59.0</v>
      </c>
      <c r="C40" s="2">
        <v>4.0</v>
      </c>
      <c r="D40" s="2" t="s">
        <v>315</v>
      </c>
      <c r="E40" s="2" t="s">
        <v>2163</v>
      </c>
      <c r="H40" s="2">
        <v>2.0</v>
      </c>
      <c r="I40" s="2">
        <v>0.0</v>
      </c>
      <c r="K40" s="8" t="str">
        <f t="shared" si="1"/>
        <v>CALL InsertOrUpdateAtributosProductos ('3325','59','4','TALLE','Talle M','2','0');</v>
      </c>
    </row>
    <row r="41">
      <c r="A41" s="2">
        <v>3326.0</v>
      </c>
      <c r="B41" s="2">
        <v>59.0</v>
      </c>
      <c r="C41" s="2">
        <v>4.0</v>
      </c>
      <c r="D41" s="2" t="s">
        <v>315</v>
      </c>
      <c r="E41" s="2" t="s">
        <v>2164</v>
      </c>
      <c r="H41" s="2">
        <v>3.0</v>
      </c>
      <c r="I41" s="2">
        <v>0.0</v>
      </c>
      <c r="K41" s="8" t="str">
        <f t="shared" si="1"/>
        <v>CALL InsertOrUpdateAtributosProductos ('3326','59','4','TALLE','Talle L','3','0');</v>
      </c>
    </row>
    <row r="42">
      <c r="A42" s="2">
        <v>3327.0</v>
      </c>
      <c r="B42" s="2">
        <v>59.0</v>
      </c>
      <c r="C42" s="2">
        <v>4.0</v>
      </c>
      <c r="D42" s="2" t="s">
        <v>315</v>
      </c>
      <c r="E42" s="2" t="s">
        <v>2165</v>
      </c>
      <c r="H42" s="2">
        <v>4.0</v>
      </c>
      <c r="I42" s="2">
        <v>0.0</v>
      </c>
      <c r="K42" s="8" t="str">
        <f t="shared" si="1"/>
        <v>CALL InsertOrUpdateAtributosProductos ('3327','59','4','TALLE','Talle xL','4','0');</v>
      </c>
    </row>
    <row r="43">
      <c r="A43" s="2">
        <v>3328.0</v>
      </c>
      <c r="B43" s="2">
        <v>60.0</v>
      </c>
      <c r="C43" s="2">
        <v>4.0</v>
      </c>
      <c r="D43" s="2" t="s">
        <v>315</v>
      </c>
      <c r="E43" s="2" t="s">
        <v>2162</v>
      </c>
      <c r="H43" s="2">
        <v>1.0</v>
      </c>
      <c r="I43" s="2">
        <v>0.0</v>
      </c>
      <c r="K43" s="8" t="str">
        <f t="shared" si="1"/>
        <v>CALL InsertOrUpdateAtributosProductos ('3328','60','4','TALLE','Talle S','1','0');</v>
      </c>
    </row>
    <row r="44">
      <c r="A44" s="2">
        <v>3329.0</v>
      </c>
      <c r="B44" s="2">
        <v>60.0</v>
      </c>
      <c r="C44" s="2">
        <v>4.0</v>
      </c>
      <c r="D44" s="2" t="s">
        <v>315</v>
      </c>
      <c r="E44" s="2" t="s">
        <v>2163</v>
      </c>
      <c r="H44" s="2">
        <v>2.0</v>
      </c>
      <c r="I44" s="2">
        <v>0.0</v>
      </c>
      <c r="K44" s="8" t="str">
        <f t="shared" si="1"/>
        <v>CALL InsertOrUpdateAtributosProductos ('3329','60','4','TALLE','Talle M','2','0');</v>
      </c>
    </row>
    <row r="45">
      <c r="A45" s="2">
        <v>3330.0</v>
      </c>
      <c r="B45" s="2">
        <v>60.0</v>
      </c>
      <c r="C45" s="2">
        <v>4.0</v>
      </c>
      <c r="D45" s="2" t="s">
        <v>315</v>
      </c>
      <c r="E45" s="2" t="s">
        <v>2164</v>
      </c>
      <c r="H45" s="2">
        <v>3.0</v>
      </c>
      <c r="I45" s="2">
        <v>0.0</v>
      </c>
      <c r="K45" s="8" t="str">
        <f t="shared" si="1"/>
        <v>CALL InsertOrUpdateAtributosProductos ('3330','60','4','TALLE','Talle L','3','0');</v>
      </c>
    </row>
    <row r="46">
      <c r="A46" s="2">
        <v>3331.0</v>
      </c>
      <c r="B46" s="2">
        <v>61.0</v>
      </c>
      <c r="C46" s="2">
        <v>4.0</v>
      </c>
      <c r="D46" s="2" t="s">
        <v>315</v>
      </c>
      <c r="E46" s="2" t="s">
        <v>2162</v>
      </c>
      <c r="H46" s="2">
        <v>1.0</v>
      </c>
      <c r="I46" s="2">
        <v>0.0</v>
      </c>
      <c r="K46" s="8" t="str">
        <f t="shared" si="1"/>
        <v>CALL InsertOrUpdateAtributosProductos ('3331','61','4','TALLE','Talle S','1','0');</v>
      </c>
    </row>
    <row r="47">
      <c r="A47" s="2">
        <v>3332.0</v>
      </c>
      <c r="B47" s="2">
        <v>61.0</v>
      </c>
      <c r="C47" s="2">
        <v>4.0</v>
      </c>
      <c r="D47" s="2" t="s">
        <v>315</v>
      </c>
      <c r="E47" s="2" t="s">
        <v>2163</v>
      </c>
      <c r="H47" s="2">
        <v>2.0</v>
      </c>
      <c r="I47" s="2">
        <v>0.0</v>
      </c>
      <c r="K47" s="8" t="str">
        <f t="shared" si="1"/>
        <v>CALL InsertOrUpdateAtributosProductos ('3332','61','4','TALLE','Talle M','2','0');</v>
      </c>
    </row>
    <row r="48">
      <c r="A48" s="2">
        <v>3333.0</v>
      </c>
      <c r="B48" s="2">
        <v>61.0</v>
      </c>
      <c r="C48" s="2">
        <v>4.0</v>
      </c>
      <c r="D48" s="2" t="s">
        <v>315</v>
      </c>
      <c r="E48" s="2" t="s">
        <v>2164</v>
      </c>
      <c r="H48" s="2">
        <v>3.0</v>
      </c>
      <c r="I48" s="2">
        <v>0.0</v>
      </c>
      <c r="K48" s="8" t="str">
        <f t="shared" si="1"/>
        <v>CALL InsertOrUpdateAtributosProductos ('3333','61','4','TALLE','Talle L','3','0');</v>
      </c>
    </row>
    <row r="49">
      <c r="A49" s="2">
        <v>3334.0</v>
      </c>
      <c r="B49" s="2">
        <v>119.0</v>
      </c>
      <c r="C49" s="2">
        <v>3.0</v>
      </c>
      <c r="D49" s="2" t="s">
        <v>263</v>
      </c>
      <c r="E49" s="2" t="s">
        <v>2166</v>
      </c>
      <c r="H49" s="2">
        <v>6.0</v>
      </c>
      <c r="I49" s="2">
        <v>0.0</v>
      </c>
      <c r="K49" s="8" t="str">
        <f t="shared" si="1"/>
        <v>CALL InsertOrUpdateAtributosProductos ('3334','119','3','MEDIDAS','2 mts','6','0');</v>
      </c>
    </row>
    <row r="50">
      <c r="A50" s="2">
        <v>3335.0</v>
      </c>
      <c r="B50" s="2">
        <v>119.0</v>
      </c>
      <c r="C50" s="2">
        <v>3.0</v>
      </c>
      <c r="D50" s="2" t="s">
        <v>263</v>
      </c>
      <c r="E50" s="2" t="s">
        <v>2167</v>
      </c>
      <c r="H50" s="2">
        <v>11.0</v>
      </c>
      <c r="I50" s="2">
        <v>0.0</v>
      </c>
      <c r="K50" s="8" t="str">
        <f t="shared" si="1"/>
        <v>CALL InsertOrUpdateAtributosProductos ('3335','119','3','MEDIDAS','3 mts','11','0');</v>
      </c>
    </row>
    <row r="51">
      <c r="A51" s="2">
        <v>3336.0</v>
      </c>
      <c r="B51" s="2">
        <v>119.0</v>
      </c>
      <c r="C51" s="2">
        <v>3.0</v>
      </c>
      <c r="D51" s="2" t="s">
        <v>263</v>
      </c>
      <c r="E51" s="2" t="s">
        <v>2168</v>
      </c>
      <c r="H51" s="2">
        <v>15.0</v>
      </c>
      <c r="I51" s="2">
        <v>0.0</v>
      </c>
      <c r="K51" s="8" t="str">
        <f t="shared" si="1"/>
        <v>CALL InsertOrUpdateAtributosProductos ('3336','119','3','MEDIDAS','3,8 mts','15','0');</v>
      </c>
    </row>
    <row r="52">
      <c r="A52" s="2">
        <v>3337.0</v>
      </c>
      <c r="B52" s="2">
        <v>119.0</v>
      </c>
      <c r="C52" s="2">
        <v>3.0</v>
      </c>
      <c r="D52" s="2" t="s">
        <v>263</v>
      </c>
      <c r="E52" s="2" t="s">
        <v>2169</v>
      </c>
      <c r="H52" s="2">
        <v>17.0</v>
      </c>
      <c r="I52" s="2">
        <v>0.0</v>
      </c>
      <c r="K52" s="8" t="str">
        <f t="shared" si="1"/>
        <v>CALL InsertOrUpdateAtributosProductos ('3337','119','3','MEDIDAS','4,2 mts','17','0');</v>
      </c>
    </row>
    <row r="53">
      <c r="A53" s="2">
        <v>3338.0</v>
      </c>
      <c r="B53" s="2">
        <v>119.0</v>
      </c>
      <c r="C53" s="2">
        <v>3.0</v>
      </c>
      <c r="D53" s="2" t="s">
        <v>263</v>
      </c>
      <c r="E53" s="2" t="s">
        <v>2170</v>
      </c>
      <c r="H53" s="2">
        <v>19.0</v>
      </c>
      <c r="I53" s="2">
        <v>0.0</v>
      </c>
      <c r="K53" s="8" t="str">
        <f t="shared" si="1"/>
        <v>CALL InsertOrUpdateAtributosProductos ('3338','119','3','MEDIDAS','4,6 mts','19','0');</v>
      </c>
    </row>
    <row r="54">
      <c r="A54" s="2">
        <v>3339.0</v>
      </c>
      <c r="B54" s="2">
        <v>119.0</v>
      </c>
      <c r="C54" s="2">
        <v>3.0</v>
      </c>
      <c r="D54" s="2" t="s">
        <v>263</v>
      </c>
      <c r="E54" s="2" t="s">
        <v>2171</v>
      </c>
      <c r="H54" s="2">
        <v>21.0</v>
      </c>
      <c r="I54" s="2">
        <v>0.0</v>
      </c>
      <c r="K54" s="8" t="str">
        <f t="shared" si="1"/>
        <v>CALL InsertOrUpdateAtributosProductos ('3339','119','3','MEDIDAS','5 mts','21','0');</v>
      </c>
    </row>
    <row r="55">
      <c r="A55" s="2">
        <v>3340.0</v>
      </c>
      <c r="B55" s="2">
        <v>119.0</v>
      </c>
      <c r="C55" s="2">
        <v>3.0</v>
      </c>
      <c r="D55" s="2" t="s">
        <v>263</v>
      </c>
      <c r="E55" s="2" t="s">
        <v>2172</v>
      </c>
      <c r="H55" s="2">
        <v>31.0</v>
      </c>
      <c r="I55" s="2">
        <v>0.0</v>
      </c>
      <c r="K55" s="8" t="str">
        <f t="shared" si="1"/>
        <v>CALL InsertOrUpdateAtributosProductos ('3340','119','3','MEDIDAS','7 mts','31','0');</v>
      </c>
    </row>
    <row r="56">
      <c r="A56" s="2">
        <v>3341.0</v>
      </c>
      <c r="B56" s="2">
        <v>122.0</v>
      </c>
      <c r="C56" s="2">
        <v>3.0</v>
      </c>
      <c r="D56" s="2" t="s">
        <v>263</v>
      </c>
      <c r="E56" s="2" t="s">
        <v>2173</v>
      </c>
      <c r="H56" s="2">
        <v>1.0</v>
      </c>
      <c r="I56" s="2">
        <v>0.0</v>
      </c>
      <c r="K56" s="8" t="str">
        <f t="shared" si="1"/>
        <v>CALL InsertOrUpdateAtributosProductos ('3341','122','3','MEDIDAS','1"','1','0');</v>
      </c>
    </row>
    <row r="57">
      <c r="A57" s="2">
        <v>3342.0</v>
      </c>
      <c r="B57" s="2">
        <v>122.0</v>
      </c>
      <c r="C57" s="2">
        <v>3.0</v>
      </c>
      <c r="D57" s="2" t="s">
        <v>263</v>
      </c>
      <c r="E57" s="2" t="s">
        <v>2174</v>
      </c>
      <c r="H57" s="2">
        <v>2.0</v>
      </c>
      <c r="I57" s="2">
        <v>0.0</v>
      </c>
      <c r="K57" s="8" t="str">
        <f t="shared" si="1"/>
        <v>CALL InsertOrUpdateAtributosProductos ('3342','122','3','MEDIDAS','1 1/2"','2','0');</v>
      </c>
    </row>
    <row r="58">
      <c r="A58" s="2">
        <v>3343.0</v>
      </c>
      <c r="B58" s="2">
        <v>122.0</v>
      </c>
      <c r="C58" s="2">
        <v>3.0</v>
      </c>
      <c r="D58" s="2" t="s">
        <v>263</v>
      </c>
      <c r="E58" s="2" t="s">
        <v>2175</v>
      </c>
      <c r="H58" s="2">
        <v>3.0</v>
      </c>
      <c r="I58" s="2">
        <v>0.0</v>
      </c>
      <c r="K58" s="8" t="str">
        <f t="shared" si="1"/>
        <v>CALL InsertOrUpdateAtributosProductos ('3343','122','3','MEDIDAS','2"','3','0');</v>
      </c>
    </row>
    <row r="59">
      <c r="A59" s="2">
        <v>3344.0</v>
      </c>
      <c r="B59" s="2">
        <v>122.0</v>
      </c>
      <c r="C59" s="2">
        <v>3.0</v>
      </c>
      <c r="D59" s="2" t="s">
        <v>263</v>
      </c>
      <c r="E59" s="2" t="s">
        <v>2176</v>
      </c>
      <c r="H59" s="2">
        <v>4.0</v>
      </c>
      <c r="I59" s="2">
        <v>0.0</v>
      </c>
      <c r="K59" s="8" t="str">
        <f t="shared" si="1"/>
        <v>CALL InsertOrUpdateAtributosProductos ('3344','122','3','MEDIDAS','2 1/2"','4','0');</v>
      </c>
    </row>
    <row r="60">
      <c r="A60" s="2">
        <v>3345.0</v>
      </c>
      <c r="B60" s="2">
        <v>122.0</v>
      </c>
      <c r="C60" s="2">
        <v>3.0</v>
      </c>
      <c r="D60" s="2" t="s">
        <v>263</v>
      </c>
      <c r="E60" s="2" t="s">
        <v>2177</v>
      </c>
      <c r="H60" s="2">
        <v>5.0</v>
      </c>
      <c r="I60" s="2">
        <v>0.0</v>
      </c>
      <c r="K60" s="8" t="str">
        <f t="shared" si="1"/>
        <v>CALL InsertOrUpdateAtributosProductos ('3345','122','3','MEDIDAS','3"','5','0');</v>
      </c>
    </row>
    <row r="61">
      <c r="A61" s="2">
        <v>3346.0</v>
      </c>
      <c r="B61" s="2">
        <v>123.0</v>
      </c>
      <c r="C61" s="2">
        <v>3.0</v>
      </c>
      <c r="D61" s="2" t="s">
        <v>263</v>
      </c>
      <c r="E61" s="2" t="s">
        <v>2178</v>
      </c>
      <c r="H61" s="2">
        <v>1.0</v>
      </c>
      <c r="I61" s="2">
        <v>0.0</v>
      </c>
      <c r="K61" s="8" t="str">
        <f t="shared" si="1"/>
        <v>CALL InsertOrUpdateAtributosProductos ('3346','123','3','MEDIDAS','4,2 mm','1','0');</v>
      </c>
    </row>
    <row r="62">
      <c r="A62" s="2">
        <v>3347.0</v>
      </c>
      <c r="B62" s="2">
        <v>123.0</v>
      </c>
      <c r="C62" s="2">
        <v>3.0</v>
      </c>
      <c r="D62" s="2" t="s">
        <v>263</v>
      </c>
      <c r="E62" s="2" t="s">
        <v>2179</v>
      </c>
      <c r="H62" s="2">
        <v>2.0</v>
      </c>
      <c r="I62" s="2">
        <v>0.0</v>
      </c>
      <c r="K62" s="8" t="str">
        <f t="shared" si="1"/>
        <v>CALL InsertOrUpdateAtributosProductos ('3347','123','3','MEDIDAS','6 mm','2','0');</v>
      </c>
    </row>
    <row r="63">
      <c r="A63" s="2">
        <v>3348.0</v>
      </c>
      <c r="B63" s="2">
        <v>127.0</v>
      </c>
      <c r="C63" s="2">
        <v>3.0</v>
      </c>
      <c r="D63" s="2" t="s">
        <v>263</v>
      </c>
      <c r="E63" s="2" t="s">
        <v>2180</v>
      </c>
      <c r="H63" s="2">
        <v>1.0</v>
      </c>
      <c r="I63" s="2">
        <v>0.0</v>
      </c>
      <c r="K63" s="8" t="str">
        <f t="shared" si="1"/>
        <v>CALL InsertOrUpdateAtributosProductos ('3348','127','3','MEDIDAS','6mm','1','0');</v>
      </c>
    </row>
    <row r="64">
      <c r="A64" s="2">
        <v>3349.0</v>
      </c>
      <c r="B64" s="2">
        <v>127.0</v>
      </c>
      <c r="C64" s="2">
        <v>3.0</v>
      </c>
      <c r="D64" s="2" t="s">
        <v>263</v>
      </c>
      <c r="E64" s="2" t="s">
        <v>2181</v>
      </c>
      <c r="H64" s="2">
        <v>2.0</v>
      </c>
      <c r="I64" s="2">
        <v>0.0</v>
      </c>
      <c r="K64" s="8" t="str">
        <f t="shared" si="1"/>
        <v>CALL InsertOrUpdateAtributosProductos ('3349','127','3','MEDIDAS','8mm','2','0');</v>
      </c>
    </row>
    <row r="65">
      <c r="A65" s="2">
        <v>3350.0</v>
      </c>
      <c r="B65" s="2">
        <v>127.0</v>
      </c>
      <c r="C65" s="2">
        <v>3.0</v>
      </c>
      <c r="D65" s="2" t="s">
        <v>263</v>
      </c>
      <c r="E65" s="2" t="s">
        <v>2182</v>
      </c>
      <c r="H65" s="2">
        <v>3.0</v>
      </c>
      <c r="I65" s="2">
        <v>0.0</v>
      </c>
      <c r="K65" s="8" t="str">
        <f t="shared" si="1"/>
        <v>CALL InsertOrUpdateAtributosProductos ('3350','127','3','MEDIDAS','10mm','3','0');</v>
      </c>
    </row>
    <row r="66">
      <c r="A66" s="2">
        <v>3351.0</v>
      </c>
      <c r="B66" s="2">
        <v>127.0</v>
      </c>
      <c r="C66" s="2">
        <v>3.0</v>
      </c>
      <c r="D66" s="2" t="s">
        <v>263</v>
      </c>
      <c r="E66" s="2" t="s">
        <v>2183</v>
      </c>
      <c r="H66" s="2">
        <v>4.0</v>
      </c>
      <c r="I66" s="2">
        <v>0.0</v>
      </c>
      <c r="K66" s="8" t="str">
        <f t="shared" si="1"/>
        <v>CALL InsertOrUpdateAtributosProductos ('3351','127','3','MEDIDAS','12mm','4','0');</v>
      </c>
    </row>
    <row r="67">
      <c r="A67" s="2">
        <v>3352.0</v>
      </c>
      <c r="B67" s="2">
        <v>127.0</v>
      </c>
      <c r="C67" s="2">
        <v>3.0</v>
      </c>
      <c r="D67" s="2" t="s">
        <v>263</v>
      </c>
      <c r="E67" s="2" t="s">
        <v>2184</v>
      </c>
      <c r="H67" s="2">
        <v>6.0</v>
      </c>
      <c r="I67" s="2">
        <v>0.0</v>
      </c>
      <c r="K67" s="8" t="str">
        <f t="shared" si="1"/>
        <v>CALL InsertOrUpdateAtributosProductos ('3352','127','3','MEDIDAS','20mm','6','0');</v>
      </c>
    </row>
    <row r="68">
      <c r="A68" s="2">
        <v>3353.0</v>
      </c>
      <c r="B68" s="2">
        <v>127.0</v>
      </c>
      <c r="C68" s="2">
        <v>3.0</v>
      </c>
      <c r="D68" s="2" t="s">
        <v>263</v>
      </c>
      <c r="E68" s="2" t="s">
        <v>2185</v>
      </c>
      <c r="H68" s="2">
        <v>7.0</v>
      </c>
      <c r="I68" s="2">
        <v>0.0</v>
      </c>
      <c r="K68" s="8" t="str">
        <f t="shared" si="1"/>
        <v>CALL InsertOrUpdateAtributosProductos ('3353','127','3','MEDIDAS','25mm','7','0');</v>
      </c>
    </row>
    <row r="69">
      <c r="A69" s="2">
        <v>3354.0</v>
      </c>
      <c r="B69" s="2">
        <v>127.0</v>
      </c>
      <c r="C69" s="2">
        <v>3.0</v>
      </c>
      <c r="D69" s="2" t="s">
        <v>263</v>
      </c>
      <c r="E69" s="2" t="s">
        <v>2186</v>
      </c>
      <c r="H69" s="2">
        <v>5.0</v>
      </c>
      <c r="I69" s="2">
        <v>0.0</v>
      </c>
      <c r="K69" s="8" t="str">
        <f t="shared" si="1"/>
        <v>CALL InsertOrUpdateAtributosProductos ('3354','127','3','MEDIDAS','16mm','5','0');</v>
      </c>
    </row>
    <row r="70">
      <c r="A70" s="2">
        <v>3355.0</v>
      </c>
      <c r="B70" s="2">
        <v>128.0</v>
      </c>
      <c r="C70" s="2">
        <v>3.0</v>
      </c>
      <c r="D70" s="2" t="s">
        <v>263</v>
      </c>
      <c r="E70" s="2" t="s">
        <v>2187</v>
      </c>
      <c r="H70" s="2">
        <v>1.0</v>
      </c>
      <c r="I70" s="2">
        <v>0.0</v>
      </c>
      <c r="K70" s="8" t="str">
        <f t="shared" si="1"/>
        <v>CALL InsertOrUpdateAtributosProductos ('3355','128','3','MEDIDAS','10 x 10 cm','1','0');</v>
      </c>
    </row>
    <row r="71">
      <c r="A71" s="2">
        <v>3356.0</v>
      </c>
      <c r="B71" s="2">
        <v>128.0</v>
      </c>
      <c r="C71" s="2">
        <v>3.0</v>
      </c>
      <c r="D71" s="2" t="s">
        <v>263</v>
      </c>
      <c r="E71" s="2" t="s">
        <v>2188</v>
      </c>
      <c r="H71" s="2">
        <v>2.0</v>
      </c>
      <c r="I71" s="2">
        <v>0.0</v>
      </c>
      <c r="K71" s="8" t="str">
        <f t="shared" si="1"/>
        <v>CALL InsertOrUpdateAtributosProductos ('3356','128','3','MEDIDAS','10 x 15 cm','2','0');</v>
      </c>
    </row>
    <row r="72">
      <c r="A72" s="2">
        <v>3357.0</v>
      </c>
      <c r="B72" s="2">
        <v>128.0</v>
      </c>
      <c r="C72" s="2">
        <v>3.0</v>
      </c>
      <c r="D72" s="2" t="s">
        <v>263</v>
      </c>
      <c r="E72" s="2" t="s">
        <v>2189</v>
      </c>
      <c r="H72" s="2">
        <v>3.0</v>
      </c>
      <c r="I72" s="2">
        <v>0.0</v>
      </c>
      <c r="K72" s="8" t="str">
        <f t="shared" si="1"/>
        <v>CALL InsertOrUpdateAtributosProductos ('3357','128','3','MEDIDAS','10 x 20 cm','3','0');</v>
      </c>
    </row>
    <row r="73">
      <c r="A73" s="2">
        <v>3358.0</v>
      </c>
      <c r="B73" s="2">
        <v>128.0</v>
      </c>
      <c r="C73" s="2">
        <v>3.0</v>
      </c>
      <c r="D73" s="2" t="s">
        <v>263</v>
      </c>
      <c r="E73" s="2" t="s">
        <v>2190</v>
      </c>
      <c r="H73" s="2">
        <v>4.0</v>
      </c>
      <c r="I73" s="2">
        <v>0.0</v>
      </c>
      <c r="K73" s="8" t="str">
        <f t="shared" si="1"/>
        <v>CALL InsertOrUpdateAtributosProductos ('3358','128','3','MEDIDAS','12 x 12 cm','4','0');</v>
      </c>
    </row>
    <row r="74">
      <c r="A74" s="2">
        <v>3359.0</v>
      </c>
      <c r="B74" s="2">
        <v>128.0</v>
      </c>
      <c r="C74" s="2">
        <v>3.0</v>
      </c>
      <c r="D74" s="2" t="s">
        <v>263</v>
      </c>
      <c r="E74" s="2" t="s">
        <v>2191</v>
      </c>
      <c r="H74" s="2">
        <v>5.0</v>
      </c>
      <c r="I74" s="2">
        <v>0.0</v>
      </c>
      <c r="K74" s="8" t="str">
        <f t="shared" si="1"/>
        <v>CALL InsertOrUpdateAtributosProductos ('3359','128','3','MEDIDAS','15 x 15 cm','5','0');</v>
      </c>
    </row>
    <row r="75">
      <c r="A75" s="2">
        <v>3360.0</v>
      </c>
      <c r="B75" s="2">
        <v>129.0</v>
      </c>
      <c r="C75" s="2">
        <v>3.0</v>
      </c>
      <c r="D75" s="2" t="s">
        <v>263</v>
      </c>
      <c r="E75" s="2" t="s">
        <v>2187</v>
      </c>
      <c r="H75" s="2">
        <v>1.0</v>
      </c>
      <c r="I75" s="2">
        <v>0.0</v>
      </c>
      <c r="K75" s="8" t="str">
        <f t="shared" si="1"/>
        <v>CALL InsertOrUpdateAtributosProductos ('3360','129','3','MEDIDAS','10 x 10 cm','1','0');</v>
      </c>
    </row>
    <row r="76">
      <c r="A76" s="2">
        <v>3361.0</v>
      </c>
      <c r="B76" s="2">
        <v>129.0</v>
      </c>
      <c r="C76" s="2">
        <v>3.0</v>
      </c>
      <c r="D76" s="2" t="s">
        <v>263</v>
      </c>
      <c r="E76" s="2" t="s">
        <v>2188</v>
      </c>
      <c r="H76" s="2">
        <v>2.0</v>
      </c>
      <c r="I76" s="2">
        <v>0.0</v>
      </c>
      <c r="K76" s="8" t="str">
        <f t="shared" si="1"/>
        <v>CALL InsertOrUpdateAtributosProductos ('3361','129','3','MEDIDAS','10 x 15 cm','2','0');</v>
      </c>
    </row>
    <row r="77">
      <c r="A77" s="2">
        <v>3362.0</v>
      </c>
      <c r="B77" s="2">
        <v>129.0</v>
      </c>
      <c r="C77" s="2">
        <v>3.0</v>
      </c>
      <c r="D77" s="2" t="s">
        <v>263</v>
      </c>
      <c r="E77" s="2" t="s">
        <v>2189</v>
      </c>
      <c r="H77" s="2">
        <v>3.0</v>
      </c>
      <c r="I77" s="2">
        <v>0.0</v>
      </c>
      <c r="K77" s="8" t="str">
        <f t="shared" si="1"/>
        <v>CALL InsertOrUpdateAtributosProductos ('3362','129','3','MEDIDAS','10 x 20 cm','3','0');</v>
      </c>
    </row>
    <row r="78">
      <c r="A78" s="2">
        <v>3363.0</v>
      </c>
      <c r="B78" s="2">
        <v>129.0</v>
      </c>
      <c r="C78" s="2">
        <v>3.0</v>
      </c>
      <c r="D78" s="2" t="s">
        <v>263</v>
      </c>
      <c r="E78" s="2" t="s">
        <v>2190</v>
      </c>
      <c r="H78" s="2">
        <v>4.0</v>
      </c>
      <c r="I78" s="2">
        <v>0.0</v>
      </c>
      <c r="K78" s="8" t="str">
        <f t="shared" si="1"/>
        <v>CALL InsertOrUpdateAtributosProductos ('3363','129','3','MEDIDAS','12 x 12 cm','4','0');</v>
      </c>
    </row>
    <row r="79">
      <c r="A79" s="2">
        <v>3364.0</v>
      </c>
      <c r="B79" s="2">
        <v>129.0</v>
      </c>
      <c r="C79" s="2">
        <v>3.0</v>
      </c>
      <c r="D79" s="2" t="s">
        <v>263</v>
      </c>
      <c r="E79" s="2" t="s">
        <v>2191</v>
      </c>
      <c r="H79" s="2">
        <v>5.0</v>
      </c>
      <c r="I79" s="2">
        <v>0.0</v>
      </c>
      <c r="K79" s="8" t="str">
        <f t="shared" si="1"/>
        <v>CALL InsertOrUpdateAtributosProductos ('3364','129','3','MEDIDAS','15 x 15 cm','5','0');</v>
      </c>
    </row>
    <row r="80">
      <c r="A80" s="2">
        <v>3365.0</v>
      </c>
      <c r="B80" s="2">
        <v>129.0</v>
      </c>
      <c r="C80" s="2">
        <v>3.0</v>
      </c>
      <c r="D80" s="2" t="s">
        <v>263</v>
      </c>
      <c r="E80" s="2" t="s">
        <v>2192</v>
      </c>
      <c r="H80" s="2">
        <v>6.0</v>
      </c>
      <c r="I80" s="2">
        <v>0.0</v>
      </c>
      <c r="K80" s="8" t="str">
        <f t="shared" si="1"/>
        <v>CALL InsertOrUpdateAtributosProductos ('3365','129','3','MEDIDAS','20 x 20 cm','6','0');</v>
      </c>
    </row>
    <row r="81">
      <c r="A81" s="2">
        <v>3366.0</v>
      </c>
      <c r="B81" s="2">
        <v>130.0</v>
      </c>
      <c r="C81" s="2">
        <v>3.0</v>
      </c>
      <c r="D81" s="2" t="s">
        <v>263</v>
      </c>
      <c r="E81" s="2" t="s">
        <v>2193</v>
      </c>
      <c r="H81" s="2">
        <v>1.0</v>
      </c>
      <c r="I81" s="2">
        <v>0.0</v>
      </c>
      <c r="K81" s="8" t="str">
        <f t="shared" si="1"/>
        <v>CALL InsertOrUpdateAtributosProductos ('3366','130','3','MEDIDAS','4mm 15x15','1','0');</v>
      </c>
    </row>
    <row r="82">
      <c r="A82" s="2">
        <v>3367.0</v>
      </c>
      <c r="B82" s="2">
        <v>130.0</v>
      </c>
      <c r="C82" s="2">
        <v>3.0</v>
      </c>
      <c r="D82" s="2" t="s">
        <v>263</v>
      </c>
      <c r="E82" s="2" t="s">
        <v>2194</v>
      </c>
      <c r="H82" s="2">
        <v>2.0</v>
      </c>
      <c r="I82" s="2">
        <v>0.0</v>
      </c>
      <c r="K82" s="8" t="str">
        <f t="shared" si="1"/>
        <v>CALL InsertOrUpdateAtributosProductos ('3367','130','3','MEDIDAS','4mm 15x25','2','0');</v>
      </c>
    </row>
    <row r="83">
      <c r="A83" s="2">
        <v>3368.0</v>
      </c>
      <c r="B83" s="2">
        <v>130.0</v>
      </c>
      <c r="C83" s="2">
        <v>3.0</v>
      </c>
      <c r="D83" s="2" t="s">
        <v>263</v>
      </c>
      <c r="E83" s="2" t="s">
        <v>2195</v>
      </c>
      <c r="H83" s="2">
        <v>3.0</v>
      </c>
      <c r="I83" s="2">
        <v>0.0</v>
      </c>
      <c r="K83" s="8" t="str">
        <f t="shared" si="1"/>
        <v>CALL InsertOrUpdateAtributosProductos ('3368','130','3','MEDIDAS','6mm 15x15','3','0');</v>
      </c>
    </row>
    <row r="84">
      <c r="A84" s="2">
        <v>3369.0</v>
      </c>
      <c r="B84" s="2">
        <v>130.0</v>
      </c>
      <c r="C84" s="2">
        <v>3.0</v>
      </c>
      <c r="D84" s="2" t="s">
        <v>263</v>
      </c>
      <c r="E84" s="2" t="s">
        <v>2196</v>
      </c>
      <c r="H84" s="2">
        <v>4.0</v>
      </c>
      <c r="I84" s="2">
        <v>0.0</v>
      </c>
      <c r="K84" s="8" t="str">
        <f t="shared" si="1"/>
        <v>CALL InsertOrUpdateAtributosProductos ('3369','130','3','MEDIDAS','8mm 15x15','4','0');</v>
      </c>
    </row>
    <row r="85">
      <c r="A85" s="2">
        <v>3370.0</v>
      </c>
      <c r="B85" s="2">
        <v>131.0</v>
      </c>
      <c r="C85" s="2">
        <v>5.0</v>
      </c>
      <c r="D85" s="2" t="s">
        <v>540</v>
      </c>
      <c r="E85" s="2" t="s">
        <v>2197</v>
      </c>
      <c r="H85" s="2">
        <v>1.0</v>
      </c>
      <c r="I85" s="2">
        <v>0.0</v>
      </c>
      <c r="K85" s="8" t="str">
        <f t="shared" si="1"/>
        <v>CALL InsertOrUpdateAtributosProductos ('3370','131','5','LITROS','18 litros','1','0');</v>
      </c>
    </row>
    <row r="86">
      <c r="A86" s="2">
        <v>3371.0</v>
      </c>
      <c r="B86" s="2">
        <v>131.0</v>
      </c>
      <c r="C86" s="2">
        <v>5.0</v>
      </c>
      <c r="D86" s="2" t="s">
        <v>540</v>
      </c>
      <c r="E86" s="2" t="s">
        <v>2198</v>
      </c>
      <c r="H86" s="2">
        <v>2.0</v>
      </c>
      <c r="I86" s="2">
        <v>0.0</v>
      </c>
      <c r="K86" s="8" t="str">
        <f t="shared" si="1"/>
        <v>CALL InsertOrUpdateAtributosProductos ('3371','131','5','LITROS','200 litros','2','0');</v>
      </c>
    </row>
    <row r="87">
      <c r="A87" s="2">
        <v>3372.0</v>
      </c>
      <c r="B87" s="2">
        <v>137.0</v>
      </c>
      <c r="C87" s="2">
        <v>6.0</v>
      </c>
      <c r="D87" s="2" t="s">
        <v>559</v>
      </c>
      <c r="E87" s="2" t="s">
        <v>2199</v>
      </c>
      <c r="H87" s="2">
        <v>1.0</v>
      </c>
      <c r="I87" s="2">
        <v>0.0</v>
      </c>
      <c r="K87" s="8" t="str">
        <f t="shared" si="1"/>
        <v>CALL InsertOrUpdateAtributosProductos ('3372','137','6','MARCA','Sherwin Williams','1','0');</v>
      </c>
    </row>
    <row r="88">
      <c r="A88" s="2">
        <v>3373.0</v>
      </c>
      <c r="B88" s="2">
        <v>137.0</v>
      </c>
      <c r="C88" s="2">
        <v>6.0</v>
      </c>
      <c r="D88" s="2" t="s">
        <v>559</v>
      </c>
      <c r="E88" s="2" t="s">
        <v>2200</v>
      </c>
      <c r="H88" s="2">
        <v>2.0</v>
      </c>
      <c r="I88" s="2">
        <v>0.0</v>
      </c>
      <c r="K88" s="8" t="str">
        <f t="shared" si="1"/>
        <v>CALL InsertOrUpdateAtributosProductos ('3373','137','6','MARCA','Alba','2','0');</v>
      </c>
    </row>
    <row r="89">
      <c r="A89" s="2">
        <v>3374.0</v>
      </c>
      <c r="B89" s="2">
        <v>137.0</v>
      </c>
      <c r="C89" s="2">
        <v>6.0</v>
      </c>
      <c r="D89" s="2" t="s">
        <v>559</v>
      </c>
      <c r="E89" s="2" t="s">
        <v>2201</v>
      </c>
      <c r="H89" s="2">
        <v>3.0</v>
      </c>
      <c r="I89" s="2">
        <v>0.0</v>
      </c>
      <c r="K89" s="8" t="str">
        <f t="shared" si="1"/>
        <v>CALL InsertOrUpdateAtributosProductos ('3374','137','6','MARCA','Sinteplast','3','0');</v>
      </c>
    </row>
    <row r="90">
      <c r="A90" s="2">
        <v>3375.0</v>
      </c>
      <c r="B90" s="2">
        <v>137.0</v>
      </c>
      <c r="C90" s="2">
        <v>6.0</v>
      </c>
      <c r="D90" s="2" t="s">
        <v>559</v>
      </c>
      <c r="E90" s="2" t="s">
        <v>2202</v>
      </c>
      <c r="H90" s="2">
        <v>4.0</v>
      </c>
      <c r="I90" s="2">
        <v>0.0</v>
      </c>
      <c r="K90" s="8" t="str">
        <f t="shared" si="1"/>
        <v>CALL InsertOrUpdateAtributosProductos ('3375','137','6','MARCA','Casablanca','4','0');</v>
      </c>
    </row>
    <row r="91">
      <c r="A91" s="2">
        <v>3376.0</v>
      </c>
      <c r="B91" s="2">
        <v>137.0</v>
      </c>
      <c r="C91" s="2">
        <v>6.0</v>
      </c>
      <c r="D91" s="2" t="s">
        <v>559</v>
      </c>
      <c r="E91" s="2" t="s">
        <v>2203</v>
      </c>
      <c r="H91" s="2">
        <v>5.0</v>
      </c>
      <c r="I91" s="2">
        <v>0.0</v>
      </c>
      <c r="K91" s="8" t="str">
        <f t="shared" si="1"/>
        <v>CALL InsertOrUpdateAtributosProductos ('3376','137','6','MARCA','Colorín','5','0');</v>
      </c>
    </row>
    <row r="92">
      <c r="A92" s="2">
        <v>3377.0</v>
      </c>
      <c r="B92" s="2">
        <v>137.0</v>
      </c>
      <c r="C92" s="2">
        <v>6.0</v>
      </c>
      <c r="D92" s="2" t="s">
        <v>559</v>
      </c>
      <c r="E92" s="2" t="s">
        <v>2204</v>
      </c>
      <c r="H92" s="2">
        <v>6.0</v>
      </c>
      <c r="I92" s="2">
        <v>0.0</v>
      </c>
      <c r="K92" s="8" t="str">
        <f t="shared" si="1"/>
        <v>CALL InsertOrUpdateAtributosProductos ('3377','137','6','MARCA','Tersuave','6','0');</v>
      </c>
    </row>
    <row r="93">
      <c r="A93" s="2">
        <v>3378.0</v>
      </c>
      <c r="B93" s="2">
        <v>137.0</v>
      </c>
      <c r="C93" s="2">
        <v>5.0</v>
      </c>
      <c r="D93" s="2" t="s">
        <v>540</v>
      </c>
      <c r="E93" s="2" t="s">
        <v>2205</v>
      </c>
      <c r="H93" s="2">
        <v>1.0</v>
      </c>
      <c r="I93" s="2">
        <v>0.0</v>
      </c>
      <c r="K93" s="8" t="str">
        <f t="shared" si="1"/>
        <v>CALL InsertOrUpdateAtributosProductos ('3378','137','5','LITROS','1 litro','1','0');</v>
      </c>
    </row>
    <row r="94">
      <c r="A94" s="2">
        <v>3379.0</v>
      </c>
      <c r="B94" s="2">
        <v>137.0</v>
      </c>
      <c r="C94" s="2">
        <v>5.0</v>
      </c>
      <c r="D94" s="2" t="s">
        <v>540</v>
      </c>
      <c r="E94" s="2" t="s">
        <v>2206</v>
      </c>
      <c r="H94" s="2">
        <v>2.0</v>
      </c>
      <c r="I94" s="2">
        <v>0.0</v>
      </c>
      <c r="K94" s="8" t="str">
        <f t="shared" si="1"/>
        <v>CALL InsertOrUpdateAtributosProductos ('3379','137','5','LITROS','4 litros','2','0');</v>
      </c>
    </row>
    <row r="95">
      <c r="A95" s="2">
        <v>3380.0</v>
      </c>
      <c r="B95" s="2">
        <v>137.0</v>
      </c>
      <c r="C95" s="2">
        <v>5.0</v>
      </c>
      <c r="D95" s="2" t="s">
        <v>540</v>
      </c>
      <c r="E95" s="2" t="s">
        <v>2207</v>
      </c>
      <c r="H95" s="2">
        <v>3.0</v>
      </c>
      <c r="I95" s="2">
        <v>0.0</v>
      </c>
      <c r="K95" s="8" t="str">
        <f t="shared" si="1"/>
        <v>CALL InsertOrUpdateAtributosProductos ('3380','137','5','LITROS','10 litros','3','0');</v>
      </c>
    </row>
    <row r="96">
      <c r="A96" s="2">
        <v>3381.0</v>
      </c>
      <c r="B96" s="2">
        <v>137.0</v>
      </c>
      <c r="C96" s="2">
        <v>5.0</v>
      </c>
      <c r="D96" s="2" t="s">
        <v>540</v>
      </c>
      <c r="E96" s="2" t="s">
        <v>2208</v>
      </c>
      <c r="H96" s="2">
        <v>4.0</v>
      </c>
      <c r="I96" s="2">
        <v>0.0</v>
      </c>
      <c r="K96" s="8" t="str">
        <f t="shared" si="1"/>
        <v>CALL InsertOrUpdateAtributosProductos ('3381','137','5','LITROS','20 litros','4','0');</v>
      </c>
    </row>
    <row r="97">
      <c r="A97" s="2">
        <v>3382.0</v>
      </c>
      <c r="B97" s="2">
        <v>137.0</v>
      </c>
      <c r="C97" s="2">
        <v>6.0</v>
      </c>
      <c r="D97" s="2" t="s">
        <v>559</v>
      </c>
      <c r="E97" s="2" t="s">
        <v>2209</v>
      </c>
      <c r="H97" s="2">
        <v>7.0</v>
      </c>
      <c r="I97" s="2">
        <v>0.0</v>
      </c>
      <c r="K97" s="8" t="str">
        <f t="shared" si="1"/>
        <v>CALL InsertOrUpdateAtributosProductos ('3382','137','6','MARCA','Otra','7','0');</v>
      </c>
    </row>
    <row r="98">
      <c r="A98" s="2">
        <v>3383.0</v>
      </c>
      <c r="B98" s="2">
        <v>138.0</v>
      </c>
      <c r="C98" s="2">
        <v>6.0</v>
      </c>
      <c r="D98" s="2" t="s">
        <v>559</v>
      </c>
      <c r="E98" s="2" t="s">
        <v>2199</v>
      </c>
      <c r="H98" s="2">
        <v>1.0</v>
      </c>
      <c r="I98" s="2">
        <v>0.0</v>
      </c>
      <c r="K98" s="8" t="str">
        <f t="shared" si="1"/>
        <v>CALL InsertOrUpdateAtributosProductos ('3383','138','6','MARCA','Sherwin Williams','1','0');</v>
      </c>
    </row>
    <row r="99">
      <c r="A99" s="2">
        <v>3384.0</v>
      </c>
      <c r="B99" s="2">
        <v>138.0</v>
      </c>
      <c r="C99" s="2">
        <v>6.0</v>
      </c>
      <c r="D99" s="2" t="s">
        <v>559</v>
      </c>
      <c r="E99" s="2" t="s">
        <v>2201</v>
      </c>
      <c r="H99" s="2">
        <v>3.0</v>
      </c>
      <c r="I99" s="2">
        <v>0.0</v>
      </c>
      <c r="K99" s="8" t="str">
        <f t="shared" si="1"/>
        <v>CALL InsertOrUpdateAtributosProductos ('3384','138','6','MARCA','Sinteplast','3','0');</v>
      </c>
    </row>
    <row r="100">
      <c r="A100" s="2">
        <v>3385.0</v>
      </c>
      <c r="B100" s="2">
        <v>138.0</v>
      </c>
      <c r="C100" s="2">
        <v>6.0</v>
      </c>
      <c r="D100" s="2" t="s">
        <v>559</v>
      </c>
      <c r="E100" s="2" t="s">
        <v>2202</v>
      </c>
      <c r="H100" s="2">
        <v>4.0</v>
      </c>
      <c r="I100" s="2">
        <v>0.0</v>
      </c>
      <c r="K100" s="8" t="str">
        <f t="shared" si="1"/>
        <v>CALL InsertOrUpdateAtributosProductos ('3385','138','6','MARCA','Casablanca','4','0');</v>
      </c>
    </row>
    <row r="101">
      <c r="A101" s="2">
        <v>3386.0</v>
      </c>
      <c r="B101" s="2">
        <v>138.0</v>
      </c>
      <c r="C101" s="2">
        <v>6.0</v>
      </c>
      <c r="D101" s="2" t="s">
        <v>559</v>
      </c>
      <c r="E101" s="2" t="s">
        <v>2203</v>
      </c>
      <c r="H101" s="2">
        <v>5.0</v>
      </c>
      <c r="I101" s="2">
        <v>0.0</v>
      </c>
      <c r="K101" s="8" t="str">
        <f t="shared" si="1"/>
        <v>CALL InsertOrUpdateAtributosProductos ('3386','138','6','MARCA','Colorín','5','0');</v>
      </c>
    </row>
    <row r="102">
      <c r="A102" s="2">
        <v>3387.0</v>
      </c>
      <c r="B102" s="2">
        <v>138.0</v>
      </c>
      <c r="C102" s="2">
        <v>6.0</v>
      </c>
      <c r="D102" s="2" t="s">
        <v>559</v>
      </c>
      <c r="E102" s="2" t="s">
        <v>2204</v>
      </c>
      <c r="H102" s="2">
        <v>6.0</v>
      </c>
      <c r="I102" s="2">
        <v>0.0</v>
      </c>
      <c r="K102" s="8" t="str">
        <f t="shared" si="1"/>
        <v>CALL InsertOrUpdateAtributosProductos ('3387','138','6','MARCA','Tersuave','6','0');</v>
      </c>
    </row>
    <row r="103">
      <c r="A103" s="2">
        <v>3388.0</v>
      </c>
      <c r="B103" s="2">
        <v>138.0</v>
      </c>
      <c r="C103" s="2">
        <v>6.0</v>
      </c>
      <c r="D103" s="2" t="s">
        <v>559</v>
      </c>
      <c r="E103" s="2" t="s">
        <v>2209</v>
      </c>
      <c r="H103" s="2">
        <v>7.0</v>
      </c>
      <c r="I103" s="2">
        <v>0.0</v>
      </c>
      <c r="K103" s="8" t="str">
        <f t="shared" si="1"/>
        <v>CALL InsertOrUpdateAtributosProductos ('3388','138','6','MARCA','Otra','7','0');</v>
      </c>
    </row>
    <row r="104">
      <c r="A104" s="2">
        <v>3389.0</v>
      </c>
      <c r="B104" s="2">
        <v>138.0</v>
      </c>
      <c r="C104" s="2">
        <v>5.0</v>
      </c>
      <c r="D104" s="2" t="s">
        <v>540</v>
      </c>
      <c r="E104" s="2" t="s">
        <v>2205</v>
      </c>
      <c r="H104" s="2">
        <v>1.0</v>
      </c>
      <c r="I104" s="2">
        <v>0.0</v>
      </c>
      <c r="K104" s="8" t="str">
        <f t="shared" si="1"/>
        <v>CALL InsertOrUpdateAtributosProductos ('3389','138','5','LITROS','1 litro','1','0');</v>
      </c>
    </row>
    <row r="105">
      <c r="A105" s="2">
        <v>3390.0</v>
      </c>
      <c r="B105" s="2">
        <v>138.0</v>
      </c>
      <c r="C105" s="2">
        <v>5.0</v>
      </c>
      <c r="D105" s="2" t="s">
        <v>540</v>
      </c>
      <c r="E105" s="2" t="s">
        <v>2207</v>
      </c>
      <c r="H105" s="2">
        <v>3.0</v>
      </c>
      <c r="I105" s="2">
        <v>0.0</v>
      </c>
      <c r="K105" s="8" t="str">
        <f t="shared" si="1"/>
        <v>CALL InsertOrUpdateAtributosProductos ('3390','138','5','LITROS','10 litros','3','0');</v>
      </c>
    </row>
    <row r="106">
      <c r="A106" s="2">
        <v>3391.0</v>
      </c>
      <c r="B106" s="2">
        <v>138.0</v>
      </c>
      <c r="C106" s="2">
        <v>5.0</v>
      </c>
      <c r="D106" s="2" t="s">
        <v>540</v>
      </c>
      <c r="E106" s="2" t="s">
        <v>2208</v>
      </c>
      <c r="H106" s="2">
        <v>4.0</v>
      </c>
      <c r="I106" s="2">
        <v>0.0</v>
      </c>
      <c r="K106" s="8" t="str">
        <f t="shared" si="1"/>
        <v>CALL InsertOrUpdateAtributosProductos ('3391','138','5','LITROS','20 litros','4','0');</v>
      </c>
    </row>
    <row r="107">
      <c r="A107" s="2">
        <v>3392.0</v>
      </c>
      <c r="B107" s="2">
        <v>138.0</v>
      </c>
      <c r="C107" s="2">
        <v>6.0</v>
      </c>
      <c r="D107" s="2" t="s">
        <v>559</v>
      </c>
      <c r="E107" s="2" t="s">
        <v>2200</v>
      </c>
      <c r="H107" s="2">
        <v>2.0</v>
      </c>
      <c r="I107" s="2">
        <v>0.0</v>
      </c>
      <c r="K107" s="8" t="str">
        <f t="shared" si="1"/>
        <v>CALL InsertOrUpdateAtributosProductos ('3392','138','6','MARCA','Alba','2','0');</v>
      </c>
    </row>
    <row r="108">
      <c r="A108" s="2">
        <v>3393.0</v>
      </c>
      <c r="B108" s="2">
        <v>138.0</v>
      </c>
      <c r="C108" s="2">
        <v>5.0</v>
      </c>
      <c r="D108" s="2" t="s">
        <v>540</v>
      </c>
      <c r="E108" s="2" t="s">
        <v>2206</v>
      </c>
      <c r="H108" s="2">
        <v>2.0</v>
      </c>
      <c r="I108" s="2">
        <v>0.0</v>
      </c>
      <c r="K108" s="8" t="str">
        <f t="shared" si="1"/>
        <v>CALL InsertOrUpdateAtributosProductos ('3393','138','5','LITROS','4 litros','2','0');</v>
      </c>
    </row>
    <row r="109">
      <c r="A109" s="2">
        <v>3394.0</v>
      </c>
      <c r="B109" s="2">
        <v>139.0</v>
      </c>
      <c r="C109" s="2">
        <v>6.0</v>
      </c>
      <c r="D109" s="2" t="s">
        <v>559</v>
      </c>
      <c r="E109" s="2" t="s">
        <v>2199</v>
      </c>
      <c r="H109" s="2">
        <v>1.0</v>
      </c>
      <c r="I109" s="2">
        <v>0.0</v>
      </c>
      <c r="K109" s="8" t="str">
        <f t="shared" si="1"/>
        <v>CALL InsertOrUpdateAtributosProductos ('3394','139','6','MARCA','Sherwin Williams','1','0');</v>
      </c>
    </row>
    <row r="110">
      <c r="A110" s="2">
        <v>3395.0</v>
      </c>
      <c r="B110" s="2">
        <v>139.0</v>
      </c>
      <c r="C110" s="2">
        <v>6.0</v>
      </c>
      <c r="D110" s="2" t="s">
        <v>559</v>
      </c>
      <c r="E110" s="2" t="s">
        <v>2200</v>
      </c>
      <c r="H110" s="2">
        <v>2.0</v>
      </c>
      <c r="I110" s="2">
        <v>0.0</v>
      </c>
      <c r="K110" s="8" t="str">
        <f t="shared" si="1"/>
        <v>CALL InsertOrUpdateAtributosProductos ('3395','139','6','MARCA','Alba','2','0');</v>
      </c>
    </row>
    <row r="111">
      <c r="A111" s="2">
        <v>3396.0</v>
      </c>
      <c r="B111" s="2">
        <v>139.0</v>
      </c>
      <c r="C111" s="2">
        <v>6.0</v>
      </c>
      <c r="D111" s="2" t="s">
        <v>559</v>
      </c>
      <c r="E111" s="2" t="s">
        <v>2201</v>
      </c>
      <c r="H111" s="2">
        <v>3.0</v>
      </c>
      <c r="I111" s="2">
        <v>0.0</v>
      </c>
      <c r="K111" s="8" t="str">
        <f t="shared" si="1"/>
        <v>CALL InsertOrUpdateAtributosProductos ('3396','139','6','MARCA','Sinteplast','3','0');</v>
      </c>
    </row>
    <row r="112">
      <c r="A112" s="2">
        <v>3397.0</v>
      </c>
      <c r="B112" s="2">
        <v>139.0</v>
      </c>
      <c r="C112" s="2">
        <v>6.0</v>
      </c>
      <c r="D112" s="2" t="s">
        <v>559</v>
      </c>
      <c r="E112" s="2" t="s">
        <v>2202</v>
      </c>
      <c r="H112" s="2">
        <v>4.0</v>
      </c>
      <c r="I112" s="2">
        <v>0.0</v>
      </c>
      <c r="K112" s="8" t="str">
        <f t="shared" si="1"/>
        <v>CALL InsertOrUpdateAtributosProductos ('3397','139','6','MARCA','Casablanca','4','0');</v>
      </c>
    </row>
    <row r="113">
      <c r="A113" s="2">
        <v>3398.0</v>
      </c>
      <c r="B113" s="2">
        <v>139.0</v>
      </c>
      <c r="C113" s="2">
        <v>5.0</v>
      </c>
      <c r="D113" s="2" t="s">
        <v>540</v>
      </c>
      <c r="E113" s="2" t="s">
        <v>2206</v>
      </c>
      <c r="H113" s="2">
        <v>2.0</v>
      </c>
      <c r="I113" s="2">
        <v>0.0</v>
      </c>
      <c r="K113" s="8" t="str">
        <f t="shared" si="1"/>
        <v>CALL InsertOrUpdateAtributosProductos ('3398','139','5','LITROS','4 litros','2','0');</v>
      </c>
    </row>
    <row r="114">
      <c r="A114" s="2">
        <v>3399.0</v>
      </c>
      <c r="B114" s="2">
        <v>139.0</v>
      </c>
      <c r="C114" s="2">
        <v>5.0</v>
      </c>
      <c r="D114" s="2" t="s">
        <v>540</v>
      </c>
      <c r="E114" s="2" t="s">
        <v>2207</v>
      </c>
      <c r="H114" s="2">
        <v>3.0</v>
      </c>
      <c r="I114" s="2">
        <v>0.0</v>
      </c>
      <c r="K114" s="8" t="str">
        <f t="shared" si="1"/>
        <v>CALL InsertOrUpdateAtributosProductos ('3399','139','5','LITROS','10 litros','3','0');</v>
      </c>
    </row>
    <row r="115">
      <c r="A115" s="2">
        <v>3400.0</v>
      </c>
      <c r="B115" s="2">
        <v>139.0</v>
      </c>
      <c r="C115" s="2">
        <v>5.0</v>
      </c>
      <c r="D115" s="2" t="s">
        <v>540</v>
      </c>
      <c r="E115" s="2" t="s">
        <v>2208</v>
      </c>
      <c r="H115" s="2">
        <v>4.0</v>
      </c>
      <c r="I115" s="2">
        <v>0.0</v>
      </c>
      <c r="K115" s="8" t="str">
        <f t="shared" si="1"/>
        <v>CALL InsertOrUpdateAtributosProductos ('3400','139','5','LITROS','20 litros','4','0');</v>
      </c>
    </row>
    <row r="116">
      <c r="A116" s="2">
        <v>3401.0</v>
      </c>
      <c r="B116" s="2">
        <v>139.0</v>
      </c>
      <c r="C116" s="2">
        <v>6.0</v>
      </c>
      <c r="D116" s="2" t="s">
        <v>559</v>
      </c>
      <c r="E116" s="2" t="s">
        <v>2203</v>
      </c>
      <c r="H116" s="2">
        <v>5.0</v>
      </c>
      <c r="I116" s="2">
        <v>0.0</v>
      </c>
      <c r="K116" s="8" t="str">
        <f t="shared" si="1"/>
        <v>CALL InsertOrUpdateAtributosProductos ('3401','139','6','MARCA','Colorín','5','0');</v>
      </c>
    </row>
    <row r="117">
      <c r="A117" s="2">
        <v>3402.0</v>
      </c>
      <c r="B117" s="2">
        <v>139.0</v>
      </c>
      <c r="C117" s="2">
        <v>6.0</v>
      </c>
      <c r="D117" s="2" t="s">
        <v>559</v>
      </c>
      <c r="E117" s="2" t="s">
        <v>2204</v>
      </c>
      <c r="H117" s="2">
        <v>6.0</v>
      </c>
      <c r="I117" s="2">
        <v>0.0</v>
      </c>
      <c r="K117" s="8" t="str">
        <f t="shared" si="1"/>
        <v>CALL InsertOrUpdateAtributosProductos ('3402','139','6','MARCA','Tersuave','6','0');</v>
      </c>
    </row>
    <row r="118">
      <c r="A118" s="2">
        <v>3403.0</v>
      </c>
      <c r="B118" s="2">
        <v>139.0</v>
      </c>
      <c r="C118" s="2">
        <v>6.0</v>
      </c>
      <c r="D118" s="2" t="s">
        <v>559</v>
      </c>
      <c r="E118" s="2" t="s">
        <v>2209</v>
      </c>
      <c r="H118" s="2">
        <v>7.0</v>
      </c>
      <c r="I118" s="2">
        <v>0.0</v>
      </c>
      <c r="K118" s="8" t="str">
        <f t="shared" si="1"/>
        <v>CALL InsertOrUpdateAtributosProductos ('3403','139','6','MARCA','Otra','7','0');</v>
      </c>
    </row>
    <row r="119">
      <c r="A119" s="2">
        <v>3404.0</v>
      </c>
      <c r="B119" s="2">
        <v>139.0</v>
      </c>
      <c r="C119" s="2">
        <v>5.0</v>
      </c>
      <c r="D119" s="2" t="s">
        <v>540</v>
      </c>
      <c r="E119" s="2" t="s">
        <v>2205</v>
      </c>
      <c r="H119" s="2">
        <v>1.0</v>
      </c>
      <c r="I119" s="2">
        <v>0.0</v>
      </c>
      <c r="K119" s="8" t="str">
        <f t="shared" si="1"/>
        <v>CALL InsertOrUpdateAtributosProductos ('3404','139','5','LITROS','1 litro','1','0');</v>
      </c>
    </row>
    <row r="120">
      <c r="A120" s="2">
        <v>3405.0</v>
      </c>
      <c r="B120" s="2">
        <v>140.0</v>
      </c>
      <c r="C120" s="2">
        <v>6.0</v>
      </c>
      <c r="D120" s="2" t="s">
        <v>559</v>
      </c>
      <c r="E120" s="2" t="s">
        <v>2199</v>
      </c>
      <c r="H120" s="2">
        <v>1.0</v>
      </c>
      <c r="I120" s="2">
        <v>0.0</v>
      </c>
      <c r="K120" s="8" t="str">
        <f t="shared" si="1"/>
        <v>CALL InsertOrUpdateAtributosProductos ('3405','140','6','MARCA','Sherwin Williams','1','0');</v>
      </c>
    </row>
    <row r="121">
      <c r="A121" s="2">
        <v>3406.0</v>
      </c>
      <c r="B121" s="2">
        <v>140.0</v>
      </c>
      <c r="C121" s="2">
        <v>6.0</v>
      </c>
      <c r="D121" s="2" t="s">
        <v>559</v>
      </c>
      <c r="E121" s="2" t="s">
        <v>2200</v>
      </c>
      <c r="H121" s="2">
        <v>2.0</v>
      </c>
      <c r="I121" s="2">
        <v>0.0</v>
      </c>
      <c r="K121" s="8" t="str">
        <f t="shared" si="1"/>
        <v>CALL InsertOrUpdateAtributosProductos ('3406','140','6','MARCA','Alba','2','0');</v>
      </c>
    </row>
    <row r="122">
      <c r="A122" s="2">
        <v>3407.0</v>
      </c>
      <c r="B122" s="2">
        <v>140.0</v>
      </c>
      <c r="C122" s="2">
        <v>6.0</v>
      </c>
      <c r="D122" s="2" t="s">
        <v>559</v>
      </c>
      <c r="E122" s="2" t="s">
        <v>2201</v>
      </c>
      <c r="H122" s="2">
        <v>3.0</v>
      </c>
      <c r="I122" s="2">
        <v>0.0</v>
      </c>
      <c r="K122" s="8" t="str">
        <f t="shared" si="1"/>
        <v>CALL InsertOrUpdateAtributosProductos ('3407','140','6','MARCA','Sinteplast','3','0');</v>
      </c>
    </row>
    <row r="123">
      <c r="A123" s="2">
        <v>3408.0</v>
      </c>
      <c r="B123" s="2">
        <v>140.0</v>
      </c>
      <c r="C123" s="2">
        <v>6.0</v>
      </c>
      <c r="D123" s="2" t="s">
        <v>559</v>
      </c>
      <c r="E123" s="2" t="s">
        <v>2202</v>
      </c>
      <c r="H123" s="2">
        <v>4.0</v>
      </c>
      <c r="I123" s="2">
        <v>0.0</v>
      </c>
      <c r="K123" s="8" t="str">
        <f t="shared" si="1"/>
        <v>CALL InsertOrUpdateAtributosProductos ('3408','140','6','MARCA','Casablanca','4','0');</v>
      </c>
    </row>
    <row r="124">
      <c r="A124" s="2">
        <v>3409.0</v>
      </c>
      <c r="B124" s="2">
        <v>140.0</v>
      </c>
      <c r="C124" s="2">
        <v>5.0</v>
      </c>
      <c r="D124" s="2" t="s">
        <v>540</v>
      </c>
      <c r="E124" s="2" t="s">
        <v>2207</v>
      </c>
      <c r="H124" s="2">
        <v>3.0</v>
      </c>
      <c r="I124" s="2">
        <v>0.0</v>
      </c>
      <c r="K124" s="8" t="str">
        <f t="shared" si="1"/>
        <v>CALL InsertOrUpdateAtributosProductos ('3409','140','5','LITROS','10 litros','3','0');</v>
      </c>
    </row>
    <row r="125">
      <c r="A125" s="2">
        <v>3410.0</v>
      </c>
      <c r="B125" s="2">
        <v>140.0</v>
      </c>
      <c r="C125" s="2">
        <v>6.0</v>
      </c>
      <c r="D125" s="2" t="s">
        <v>559</v>
      </c>
      <c r="E125" s="2" t="s">
        <v>2203</v>
      </c>
      <c r="H125" s="2">
        <v>5.0</v>
      </c>
      <c r="I125" s="2">
        <v>0.0</v>
      </c>
      <c r="K125" s="8" t="str">
        <f t="shared" si="1"/>
        <v>CALL InsertOrUpdateAtributosProductos ('3410','140','6','MARCA','Colorín','5','0');</v>
      </c>
    </row>
    <row r="126">
      <c r="A126" s="2">
        <v>3411.0</v>
      </c>
      <c r="B126" s="2">
        <v>140.0</v>
      </c>
      <c r="C126" s="2">
        <v>5.0</v>
      </c>
      <c r="D126" s="2" t="s">
        <v>540</v>
      </c>
      <c r="E126" s="2" t="s">
        <v>2208</v>
      </c>
      <c r="H126" s="2">
        <v>4.0</v>
      </c>
      <c r="I126" s="2">
        <v>0.0</v>
      </c>
      <c r="K126" s="8" t="str">
        <f t="shared" si="1"/>
        <v>CALL InsertOrUpdateAtributosProductos ('3411','140','5','LITROS','20 litros','4','0');</v>
      </c>
    </row>
    <row r="127">
      <c r="A127" s="2">
        <v>3412.0</v>
      </c>
      <c r="B127" s="2">
        <v>140.0</v>
      </c>
      <c r="C127" s="2">
        <v>6.0</v>
      </c>
      <c r="D127" s="2" t="s">
        <v>559</v>
      </c>
      <c r="E127" s="2" t="s">
        <v>2204</v>
      </c>
      <c r="H127" s="2">
        <v>6.0</v>
      </c>
      <c r="I127" s="2">
        <v>0.0</v>
      </c>
      <c r="K127" s="8" t="str">
        <f t="shared" si="1"/>
        <v>CALL InsertOrUpdateAtributosProductos ('3412','140','6','MARCA','Tersuave','6','0');</v>
      </c>
    </row>
    <row r="128">
      <c r="A128" s="2">
        <v>3413.0</v>
      </c>
      <c r="B128" s="2">
        <v>140.0</v>
      </c>
      <c r="C128" s="2">
        <v>6.0</v>
      </c>
      <c r="D128" s="2" t="s">
        <v>559</v>
      </c>
      <c r="E128" s="2" t="s">
        <v>2209</v>
      </c>
      <c r="H128" s="2">
        <v>7.0</v>
      </c>
      <c r="I128" s="2">
        <v>0.0</v>
      </c>
      <c r="K128" s="8" t="str">
        <f t="shared" si="1"/>
        <v>CALL InsertOrUpdateAtributosProductos ('3413','140','6','MARCA','Otra','7','0');</v>
      </c>
    </row>
    <row r="129">
      <c r="A129" s="2">
        <v>3414.0</v>
      </c>
      <c r="B129" s="2">
        <v>140.0</v>
      </c>
      <c r="C129" s="2">
        <v>5.0</v>
      </c>
      <c r="D129" s="2" t="s">
        <v>540</v>
      </c>
      <c r="E129" s="2" t="s">
        <v>2205</v>
      </c>
      <c r="H129" s="2">
        <v>1.0</v>
      </c>
      <c r="I129" s="2">
        <v>0.0</v>
      </c>
      <c r="K129" s="8" t="str">
        <f t="shared" si="1"/>
        <v>CALL InsertOrUpdateAtributosProductos ('3414','140','5','LITROS','1 litro','1','0');</v>
      </c>
    </row>
    <row r="130">
      <c r="A130" s="2">
        <v>3415.0</v>
      </c>
      <c r="B130" s="2">
        <v>140.0</v>
      </c>
      <c r="C130" s="2">
        <v>5.0</v>
      </c>
      <c r="D130" s="2" t="s">
        <v>540</v>
      </c>
      <c r="E130" s="2" t="s">
        <v>2206</v>
      </c>
      <c r="H130" s="2">
        <v>2.0</v>
      </c>
      <c r="I130" s="2">
        <v>0.0</v>
      </c>
      <c r="K130" s="8" t="str">
        <f t="shared" si="1"/>
        <v>CALL InsertOrUpdateAtributosProductos ('3415','140','5','LITROS','4 litros','2','0');</v>
      </c>
    </row>
    <row r="131">
      <c r="A131" s="2">
        <v>3416.0</v>
      </c>
      <c r="B131" s="2">
        <v>141.0</v>
      </c>
      <c r="C131" s="2">
        <v>6.0</v>
      </c>
      <c r="D131" s="2" t="s">
        <v>559</v>
      </c>
      <c r="E131" s="2" t="s">
        <v>2209</v>
      </c>
      <c r="H131" s="2">
        <v>5.0</v>
      </c>
      <c r="I131" s="2">
        <v>0.0</v>
      </c>
      <c r="K131" s="8" t="str">
        <f t="shared" si="1"/>
        <v>CALL InsertOrUpdateAtributosProductos ('3416','141','6','MARCA','Otra','5','0');</v>
      </c>
    </row>
    <row r="132">
      <c r="A132" s="2">
        <v>3417.0</v>
      </c>
      <c r="B132" s="2">
        <v>141.0</v>
      </c>
      <c r="C132" s="2">
        <v>6.0</v>
      </c>
      <c r="D132" s="2" t="s">
        <v>559</v>
      </c>
      <c r="E132" s="2" t="s">
        <v>2201</v>
      </c>
      <c r="H132" s="2">
        <v>1.0</v>
      </c>
      <c r="I132" s="2">
        <v>0.0</v>
      </c>
      <c r="K132" s="8" t="str">
        <f t="shared" si="1"/>
        <v>CALL InsertOrUpdateAtributosProductos ('3417','141','6','MARCA','Sinteplast','1','0');</v>
      </c>
    </row>
    <row r="133">
      <c r="A133" s="2">
        <v>3418.0</v>
      </c>
      <c r="B133" s="2">
        <v>141.0</v>
      </c>
      <c r="C133" s="2">
        <v>6.0</v>
      </c>
      <c r="D133" s="2" t="s">
        <v>559</v>
      </c>
      <c r="E133" s="2" t="s">
        <v>2210</v>
      </c>
      <c r="H133" s="2">
        <v>2.0</v>
      </c>
      <c r="I133" s="2">
        <v>0.0</v>
      </c>
      <c r="K133" s="8" t="str">
        <f t="shared" si="1"/>
        <v>CALL InsertOrUpdateAtributosProductos ('3418','141','6','MARCA','Plavicon','2','0');</v>
      </c>
    </row>
    <row r="134">
      <c r="A134" s="2">
        <v>3419.0</v>
      </c>
      <c r="B134" s="2">
        <v>141.0</v>
      </c>
      <c r="C134" s="2">
        <v>6.0</v>
      </c>
      <c r="D134" s="2" t="s">
        <v>559</v>
      </c>
      <c r="E134" s="2" t="s">
        <v>2211</v>
      </c>
      <c r="H134" s="2">
        <v>3.0</v>
      </c>
      <c r="I134" s="2">
        <v>0.0</v>
      </c>
      <c r="K134" s="8" t="str">
        <f t="shared" si="1"/>
        <v>CALL InsertOrUpdateAtributosProductos ('3419','141','6','MARCA','Sika','3','0');</v>
      </c>
    </row>
    <row r="135">
      <c r="A135" s="2">
        <v>3420.0</v>
      </c>
      <c r="B135" s="2">
        <v>141.0</v>
      </c>
      <c r="C135" s="2">
        <v>6.0</v>
      </c>
      <c r="D135" s="2" t="s">
        <v>559</v>
      </c>
      <c r="E135" s="2" t="s">
        <v>2203</v>
      </c>
      <c r="H135" s="2">
        <v>4.0</v>
      </c>
      <c r="I135" s="2">
        <v>0.0</v>
      </c>
      <c r="K135" s="8" t="str">
        <f t="shared" si="1"/>
        <v>CALL InsertOrUpdateAtributosProductos ('3420','141','6','MARCA','Colorín','4','0');</v>
      </c>
    </row>
    <row r="136">
      <c r="A136" s="2">
        <v>3421.0</v>
      </c>
      <c r="B136" s="2">
        <v>141.0</v>
      </c>
      <c r="C136" s="2">
        <v>5.0</v>
      </c>
      <c r="D136" s="2" t="s">
        <v>540</v>
      </c>
      <c r="E136" s="2" t="s">
        <v>2205</v>
      </c>
      <c r="H136" s="2">
        <v>1.0</v>
      </c>
      <c r="I136" s="2">
        <v>0.0</v>
      </c>
      <c r="K136" s="8" t="str">
        <f t="shared" si="1"/>
        <v>CALL InsertOrUpdateAtributosProductos ('3421','141','5','LITROS','1 litro','1','0');</v>
      </c>
    </row>
    <row r="137">
      <c r="A137" s="2">
        <v>3422.0</v>
      </c>
      <c r="B137" s="2">
        <v>141.0</v>
      </c>
      <c r="C137" s="2">
        <v>5.0</v>
      </c>
      <c r="D137" s="2" t="s">
        <v>540</v>
      </c>
      <c r="E137" s="2" t="s">
        <v>2206</v>
      </c>
      <c r="H137" s="2">
        <v>2.0</v>
      </c>
      <c r="I137" s="2">
        <v>0.0</v>
      </c>
      <c r="K137" s="8" t="str">
        <f t="shared" si="1"/>
        <v>CALL InsertOrUpdateAtributosProductos ('3422','141','5','LITROS','4 litros','2','0');</v>
      </c>
    </row>
    <row r="138">
      <c r="A138" s="2">
        <v>3423.0</v>
      </c>
      <c r="B138" s="2">
        <v>141.0</v>
      </c>
      <c r="C138" s="2">
        <v>5.0</v>
      </c>
      <c r="D138" s="2" t="s">
        <v>540</v>
      </c>
      <c r="E138" s="2" t="s">
        <v>2207</v>
      </c>
      <c r="H138" s="2">
        <v>3.0</v>
      </c>
      <c r="I138" s="2">
        <v>0.0</v>
      </c>
      <c r="K138" s="8" t="str">
        <f t="shared" si="1"/>
        <v>CALL InsertOrUpdateAtributosProductos ('3423','141','5','LITROS','10 litros','3','0');</v>
      </c>
    </row>
    <row r="139">
      <c r="A139" s="2">
        <v>3424.0</v>
      </c>
      <c r="B139" s="2">
        <v>141.0</v>
      </c>
      <c r="C139" s="2">
        <v>5.0</v>
      </c>
      <c r="D139" s="2" t="s">
        <v>540</v>
      </c>
      <c r="E139" s="2" t="s">
        <v>2208</v>
      </c>
      <c r="H139" s="2">
        <v>4.0</v>
      </c>
      <c r="I139" s="2">
        <v>0.0</v>
      </c>
      <c r="K139" s="8" t="str">
        <f t="shared" si="1"/>
        <v>CALL InsertOrUpdateAtributosProductos ('3424','141','5','LITROS','20 litros','4','0');</v>
      </c>
    </row>
    <row r="140">
      <c r="A140" s="2">
        <v>3425.0</v>
      </c>
      <c r="B140" s="2">
        <v>142.0</v>
      </c>
      <c r="C140" s="2">
        <v>6.0</v>
      </c>
      <c r="D140" s="2" t="s">
        <v>559</v>
      </c>
      <c r="E140" s="2" t="s">
        <v>2199</v>
      </c>
      <c r="H140" s="2">
        <v>1.0</v>
      </c>
      <c r="I140" s="2">
        <v>0.0</v>
      </c>
      <c r="K140" s="8" t="str">
        <f t="shared" si="1"/>
        <v>CALL InsertOrUpdateAtributosProductos ('3425','142','6','MARCA','Sherwin Williams','1','0');</v>
      </c>
    </row>
    <row r="141">
      <c r="A141" s="2">
        <v>3426.0</v>
      </c>
      <c r="B141" s="2">
        <v>142.0</v>
      </c>
      <c r="C141" s="2">
        <v>6.0</v>
      </c>
      <c r="D141" s="2" t="s">
        <v>559</v>
      </c>
      <c r="E141" s="2" t="s">
        <v>2200</v>
      </c>
      <c r="H141" s="2">
        <v>2.0</v>
      </c>
      <c r="I141" s="2">
        <v>0.0</v>
      </c>
      <c r="K141" s="8" t="str">
        <f t="shared" si="1"/>
        <v>CALL InsertOrUpdateAtributosProductos ('3426','142','6','MARCA','Alba','2','0');</v>
      </c>
    </row>
    <row r="142">
      <c r="A142" s="2">
        <v>3427.0</v>
      </c>
      <c r="B142" s="2">
        <v>142.0</v>
      </c>
      <c r="C142" s="2">
        <v>6.0</v>
      </c>
      <c r="D142" s="2" t="s">
        <v>559</v>
      </c>
      <c r="E142" s="2" t="s">
        <v>2201</v>
      </c>
      <c r="H142" s="2">
        <v>3.0</v>
      </c>
      <c r="I142" s="2">
        <v>0.0</v>
      </c>
      <c r="K142" s="8" t="str">
        <f t="shared" si="1"/>
        <v>CALL InsertOrUpdateAtributosProductos ('3427','142','6','MARCA','Sinteplast','3','0');</v>
      </c>
    </row>
    <row r="143">
      <c r="A143" s="2">
        <v>3428.0</v>
      </c>
      <c r="B143" s="2">
        <v>142.0</v>
      </c>
      <c r="C143" s="2">
        <v>6.0</v>
      </c>
      <c r="D143" s="2" t="s">
        <v>559</v>
      </c>
      <c r="E143" s="2" t="s">
        <v>2202</v>
      </c>
      <c r="H143" s="2">
        <v>4.0</v>
      </c>
      <c r="I143" s="2">
        <v>0.0</v>
      </c>
      <c r="K143" s="8" t="str">
        <f t="shared" si="1"/>
        <v>CALL InsertOrUpdateAtributosProductos ('3428','142','6','MARCA','Casablanca','4','0');</v>
      </c>
    </row>
    <row r="144">
      <c r="A144" s="2">
        <v>3429.0</v>
      </c>
      <c r="B144" s="2">
        <v>142.0</v>
      </c>
      <c r="C144" s="2">
        <v>5.0</v>
      </c>
      <c r="D144" s="2" t="s">
        <v>540</v>
      </c>
      <c r="E144" s="2" t="s">
        <v>2207</v>
      </c>
      <c r="H144" s="2">
        <v>3.0</v>
      </c>
      <c r="I144" s="2">
        <v>0.0</v>
      </c>
      <c r="K144" s="8" t="str">
        <f t="shared" si="1"/>
        <v>CALL InsertOrUpdateAtributosProductos ('3429','142','5','LITROS','10 litros','3','0');</v>
      </c>
    </row>
    <row r="145">
      <c r="A145" s="2">
        <v>3430.0</v>
      </c>
      <c r="B145" s="2">
        <v>142.0</v>
      </c>
      <c r="C145" s="2">
        <v>6.0</v>
      </c>
      <c r="D145" s="2" t="s">
        <v>559</v>
      </c>
      <c r="E145" s="2" t="s">
        <v>2203</v>
      </c>
      <c r="H145" s="2">
        <v>5.0</v>
      </c>
      <c r="I145" s="2">
        <v>0.0</v>
      </c>
      <c r="K145" s="8" t="str">
        <f t="shared" si="1"/>
        <v>CALL InsertOrUpdateAtributosProductos ('3430','142','6','MARCA','Colorín','5','0');</v>
      </c>
    </row>
    <row r="146">
      <c r="A146" s="2">
        <v>3431.0</v>
      </c>
      <c r="B146" s="2">
        <v>142.0</v>
      </c>
      <c r="C146" s="2">
        <v>5.0</v>
      </c>
      <c r="D146" s="2" t="s">
        <v>540</v>
      </c>
      <c r="E146" s="2" t="s">
        <v>2208</v>
      </c>
      <c r="H146" s="2">
        <v>4.0</v>
      </c>
      <c r="I146" s="2">
        <v>0.0</v>
      </c>
      <c r="K146" s="8" t="str">
        <f t="shared" si="1"/>
        <v>CALL InsertOrUpdateAtributosProductos ('3431','142','5','LITROS','20 litros','4','0');</v>
      </c>
    </row>
    <row r="147">
      <c r="A147" s="2">
        <v>3432.0</v>
      </c>
      <c r="B147" s="2">
        <v>142.0</v>
      </c>
      <c r="C147" s="2">
        <v>6.0</v>
      </c>
      <c r="D147" s="2" t="s">
        <v>559</v>
      </c>
      <c r="E147" s="2" t="s">
        <v>2204</v>
      </c>
      <c r="H147" s="2">
        <v>6.0</v>
      </c>
      <c r="I147" s="2">
        <v>0.0</v>
      </c>
      <c r="K147" s="8" t="str">
        <f t="shared" si="1"/>
        <v>CALL InsertOrUpdateAtributosProductos ('3432','142','6','MARCA','Tersuave','6','0');</v>
      </c>
    </row>
    <row r="148">
      <c r="A148" s="2">
        <v>3433.0</v>
      </c>
      <c r="B148" s="2">
        <v>142.0</v>
      </c>
      <c r="C148" s="2">
        <v>6.0</v>
      </c>
      <c r="D148" s="2" t="s">
        <v>559</v>
      </c>
      <c r="E148" s="2" t="s">
        <v>2209</v>
      </c>
      <c r="H148" s="2">
        <v>7.0</v>
      </c>
      <c r="I148" s="2">
        <v>0.0</v>
      </c>
      <c r="K148" s="8" t="str">
        <f t="shared" si="1"/>
        <v>CALL InsertOrUpdateAtributosProductos ('3433','142','6','MARCA','Otra','7','0');</v>
      </c>
    </row>
    <row r="149">
      <c r="A149" s="2">
        <v>3434.0</v>
      </c>
      <c r="B149" s="2">
        <v>142.0</v>
      </c>
      <c r="C149" s="2">
        <v>5.0</v>
      </c>
      <c r="D149" s="2" t="s">
        <v>540</v>
      </c>
      <c r="E149" s="2" t="s">
        <v>2205</v>
      </c>
      <c r="H149" s="2">
        <v>1.0</v>
      </c>
      <c r="I149" s="2">
        <v>0.0</v>
      </c>
      <c r="K149" s="8" t="str">
        <f t="shared" si="1"/>
        <v>CALL InsertOrUpdateAtributosProductos ('3434','142','5','LITROS','1 litro','1','0');</v>
      </c>
    </row>
    <row r="150">
      <c r="A150" s="2">
        <v>3435.0</v>
      </c>
      <c r="B150" s="2">
        <v>142.0</v>
      </c>
      <c r="C150" s="2">
        <v>5.0</v>
      </c>
      <c r="D150" s="2" t="s">
        <v>540</v>
      </c>
      <c r="E150" s="2" t="s">
        <v>2206</v>
      </c>
      <c r="H150" s="2">
        <v>2.0</v>
      </c>
      <c r="I150" s="2">
        <v>0.0</v>
      </c>
      <c r="K150" s="8" t="str">
        <f t="shared" si="1"/>
        <v>CALL InsertOrUpdateAtributosProductos ('3435','142','5','LITROS','4 litros','2','0');</v>
      </c>
    </row>
    <row r="151">
      <c r="A151" s="2">
        <v>3436.0</v>
      </c>
      <c r="B151" s="2">
        <v>142.0</v>
      </c>
      <c r="C151" s="2">
        <v>7.0</v>
      </c>
      <c r="D151" s="2" t="s">
        <v>2212</v>
      </c>
      <c r="E151" s="2" t="s">
        <v>2213</v>
      </c>
      <c r="H151" s="2">
        <v>1.0</v>
      </c>
      <c r="I151" s="2">
        <v>0.0</v>
      </c>
      <c r="K151" s="8" t="str">
        <f t="shared" si="1"/>
        <v>CALL InsertOrUpdateAtributosProductos ('3436','142','7','UNIDAD','250 ml','1','0');</v>
      </c>
    </row>
    <row r="152">
      <c r="A152" s="2">
        <v>3437.0</v>
      </c>
      <c r="B152" s="2">
        <v>142.0</v>
      </c>
      <c r="C152" s="2">
        <v>7.0</v>
      </c>
      <c r="D152" s="2" t="s">
        <v>2212</v>
      </c>
      <c r="E152" s="2" t="s">
        <v>2214</v>
      </c>
      <c r="H152" s="2">
        <v>2.0</v>
      </c>
      <c r="I152" s="2">
        <v>0.0</v>
      </c>
      <c r="K152" s="8" t="str">
        <f t="shared" si="1"/>
        <v>CALL InsertOrUpdateAtributosProductos ('3437','142','7','UNIDAD','500 ml','2','0');</v>
      </c>
    </row>
    <row r="153">
      <c r="A153" s="2">
        <v>3438.0</v>
      </c>
      <c r="B153" s="2">
        <v>142.0</v>
      </c>
      <c r="C153" s="2">
        <v>7.0</v>
      </c>
      <c r="D153" s="2" t="s">
        <v>2212</v>
      </c>
      <c r="E153" s="2" t="s">
        <v>2215</v>
      </c>
      <c r="H153" s="2">
        <v>3.0</v>
      </c>
      <c r="I153" s="2">
        <v>0.0</v>
      </c>
      <c r="K153" s="8" t="str">
        <f t="shared" si="1"/>
        <v>CALL InsertOrUpdateAtributosProductos ('3438','142','7','UNIDAD','1 lts','3','0');</v>
      </c>
    </row>
    <row r="154">
      <c r="A154" s="2">
        <v>3439.0</v>
      </c>
      <c r="B154" s="2">
        <v>142.0</v>
      </c>
      <c r="C154" s="2">
        <v>7.0</v>
      </c>
      <c r="D154" s="2" t="s">
        <v>2212</v>
      </c>
      <c r="E154" s="2" t="s">
        <v>2216</v>
      </c>
      <c r="H154" s="2">
        <v>4.0</v>
      </c>
      <c r="I154" s="2">
        <v>0.0</v>
      </c>
      <c r="K154" s="8" t="str">
        <f t="shared" si="1"/>
        <v>CALL InsertOrUpdateAtributosProductos ('3439','142','7','UNIDAD','4 lts','4','0');</v>
      </c>
    </row>
    <row r="155">
      <c r="A155" s="2">
        <v>3440.0</v>
      </c>
      <c r="B155" s="2">
        <v>142.0</v>
      </c>
      <c r="C155" s="2">
        <v>7.0</v>
      </c>
      <c r="D155" s="2" t="s">
        <v>2212</v>
      </c>
      <c r="E155" s="2" t="s">
        <v>2217</v>
      </c>
      <c r="H155" s="2">
        <v>5.0</v>
      </c>
      <c r="I155" s="2">
        <v>0.0</v>
      </c>
      <c r="K155" s="8" t="str">
        <f t="shared" si="1"/>
        <v>CALL InsertOrUpdateAtributosProductos ('3440','142','7','UNIDAD','20 lts','5','0');</v>
      </c>
    </row>
    <row r="156">
      <c r="A156" s="2">
        <v>3441.0</v>
      </c>
      <c r="B156" s="2">
        <v>143.0</v>
      </c>
      <c r="C156" s="2">
        <v>6.0</v>
      </c>
      <c r="D156" s="2" t="s">
        <v>559</v>
      </c>
      <c r="E156" s="2" t="s">
        <v>2204</v>
      </c>
      <c r="H156" s="2">
        <v>6.0</v>
      </c>
      <c r="I156" s="2">
        <v>0.0</v>
      </c>
      <c r="K156" s="8" t="str">
        <f t="shared" si="1"/>
        <v>CALL InsertOrUpdateAtributosProductos ('3441','143','6','MARCA','Tersuave','6','0');</v>
      </c>
    </row>
    <row r="157">
      <c r="A157" s="2">
        <v>3442.0</v>
      </c>
      <c r="B157" s="2">
        <v>143.0</v>
      </c>
      <c r="C157" s="2">
        <v>6.0</v>
      </c>
      <c r="D157" s="2" t="s">
        <v>559</v>
      </c>
      <c r="E157" s="2" t="s">
        <v>2209</v>
      </c>
      <c r="H157" s="2">
        <v>7.0</v>
      </c>
      <c r="I157" s="2">
        <v>0.0</v>
      </c>
      <c r="K157" s="8" t="str">
        <f t="shared" si="1"/>
        <v>CALL InsertOrUpdateAtributosProductos ('3442','143','6','MARCA','Otra','7','0');</v>
      </c>
    </row>
    <row r="158">
      <c r="A158" s="2">
        <v>3443.0</v>
      </c>
      <c r="B158" s="2">
        <v>143.0</v>
      </c>
      <c r="C158" s="2">
        <v>5.0</v>
      </c>
      <c r="D158" s="2" t="s">
        <v>540</v>
      </c>
      <c r="E158" s="2" t="s">
        <v>2205</v>
      </c>
      <c r="H158" s="2">
        <v>1.0</v>
      </c>
      <c r="I158" s="2">
        <v>0.0</v>
      </c>
      <c r="K158" s="8" t="str">
        <f t="shared" si="1"/>
        <v>CALL InsertOrUpdateAtributosProductos ('3443','143','5','LITROS','1 litro','1','0');</v>
      </c>
    </row>
    <row r="159">
      <c r="A159" s="2">
        <v>3444.0</v>
      </c>
      <c r="B159" s="2">
        <v>143.0</v>
      </c>
      <c r="C159" s="2">
        <v>6.0</v>
      </c>
      <c r="D159" s="2" t="s">
        <v>559</v>
      </c>
      <c r="E159" s="2" t="s">
        <v>2199</v>
      </c>
      <c r="H159" s="2">
        <v>1.0</v>
      </c>
      <c r="I159" s="2">
        <v>0.0</v>
      </c>
      <c r="K159" s="8" t="str">
        <f t="shared" si="1"/>
        <v>CALL InsertOrUpdateAtributosProductos ('3444','143','6','MARCA','Sherwin Williams','1','0');</v>
      </c>
    </row>
    <row r="160">
      <c r="A160" s="2">
        <v>3445.0</v>
      </c>
      <c r="B160" s="2">
        <v>143.0</v>
      </c>
      <c r="C160" s="2">
        <v>6.0</v>
      </c>
      <c r="D160" s="2" t="s">
        <v>559</v>
      </c>
      <c r="E160" s="2" t="s">
        <v>2200</v>
      </c>
      <c r="H160" s="2">
        <v>2.0</v>
      </c>
      <c r="I160" s="2">
        <v>0.0</v>
      </c>
      <c r="K160" s="8" t="str">
        <f t="shared" si="1"/>
        <v>CALL InsertOrUpdateAtributosProductos ('3445','143','6','MARCA','Alba','2','0');</v>
      </c>
    </row>
    <row r="161">
      <c r="A161" s="2">
        <v>3446.0</v>
      </c>
      <c r="B161" s="2">
        <v>143.0</v>
      </c>
      <c r="C161" s="2">
        <v>6.0</v>
      </c>
      <c r="D161" s="2" t="s">
        <v>559</v>
      </c>
      <c r="E161" s="2" t="s">
        <v>2201</v>
      </c>
      <c r="H161" s="2">
        <v>3.0</v>
      </c>
      <c r="I161" s="2">
        <v>0.0</v>
      </c>
      <c r="K161" s="8" t="str">
        <f t="shared" si="1"/>
        <v>CALL InsertOrUpdateAtributosProductos ('3446','143','6','MARCA','Sinteplast','3','0');</v>
      </c>
    </row>
    <row r="162">
      <c r="A162" s="2">
        <v>3447.0</v>
      </c>
      <c r="B162" s="2">
        <v>143.0</v>
      </c>
      <c r="C162" s="2">
        <v>6.0</v>
      </c>
      <c r="D162" s="2" t="s">
        <v>559</v>
      </c>
      <c r="E162" s="2" t="s">
        <v>2202</v>
      </c>
      <c r="H162" s="2">
        <v>4.0</v>
      </c>
      <c r="I162" s="2">
        <v>0.0</v>
      </c>
      <c r="K162" s="8" t="str">
        <f t="shared" si="1"/>
        <v>CALL InsertOrUpdateAtributosProductos ('3447','143','6','MARCA','Casablanca','4','0');</v>
      </c>
    </row>
    <row r="163">
      <c r="A163" s="2">
        <v>3448.0</v>
      </c>
      <c r="B163" s="2">
        <v>143.0</v>
      </c>
      <c r="C163" s="2">
        <v>6.0</v>
      </c>
      <c r="D163" s="2" t="s">
        <v>559</v>
      </c>
      <c r="E163" s="2" t="s">
        <v>2203</v>
      </c>
      <c r="H163" s="2">
        <v>5.0</v>
      </c>
      <c r="I163" s="2">
        <v>0.0</v>
      </c>
      <c r="K163" s="8" t="str">
        <f t="shared" si="1"/>
        <v>CALL InsertOrUpdateAtributosProductos ('3448','143','6','MARCA','Colorín','5','0');</v>
      </c>
    </row>
    <row r="164">
      <c r="A164" s="2">
        <v>3449.0</v>
      </c>
      <c r="B164" s="2">
        <v>143.0</v>
      </c>
      <c r="C164" s="2">
        <v>5.0</v>
      </c>
      <c r="D164" s="2" t="s">
        <v>540</v>
      </c>
      <c r="E164" s="2" t="s">
        <v>2206</v>
      </c>
      <c r="H164" s="2">
        <v>2.0</v>
      </c>
      <c r="I164" s="2">
        <v>0.0</v>
      </c>
      <c r="K164" s="8" t="str">
        <f t="shared" si="1"/>
        <v>CALL InsertOrUpdateAtributosProductos ('3449','143','5','LITROS','4 litros','2','0');</v>
      </c>
    </row>
    <row r="165">
      <c r="A165" s="2">
        <v>3450.0</v>
      </c>
      <c r="B165" s="2">
        <v>143.0</v>
      </c>
      <c r="C165" s="2">
        <v>5.0</v>
      </c>
      <c r="D165" s="2" t="s">
        <v>540</v>
      </c>
      <c r="E165" s="2" t="s">
        <v>2207</v>
      </c>
      <c r="H165" s="2">
        <v>3.0</v>
      </c>
      <c r="I165" s="2">
        <v>0.0</v>
      </c>
      <c r="K165" s="8" t="str">
        <f t="shared" si="1"/>
        <v>CALL InsertOrUpdateAtributosProductos ('3450','143','5','LITROS','10 litros','3','0');</v>
      </c>
    </row>
    <row r="166">
      <c r="A166" s="2">
        <v>3451.0</v>
      </c>
      <c r="B166" s="2">
        <v>143.0</v>
      </c>
      <c r="C166" s="2">
        <v>5.0</v>
      </c>
      <c r="D166" s="2" t="s">
        <v>540</v>
      </c>
      <c r="E166" s="2" t="s">
        <v>2208</v>
      </c>
      <c r="H166" s="2">
        <v>4.0</v>
      </c>
      <c r="I166" s="2">
        <v>0.0</v>
      </c>
      <c r="K166" s="8" t="str">
        <f t="shared" si="1"/>
        <v>CALL InsertOrUpdateAtributosProductos ('3451','143','5','LITROS','20 litros','4','0');</v>
      </c>
    </row>
    <row r="167">
      <c r="A167" s="2">
        <v>3452.0</v>
      </c>
      <c r="B167" s="2">
        <v>143.0</v>
      </c>
      <c r="C167" s="2">
        <v>2.0</v>
      </c>
      <c r="D167" s="2" t="s">
        <v>259</v>
      </c>
      <c r="E167" s="2" t="s">
        <v>2218</v>
      </c>
      <c r="H167" s="2">
        <v>1.0</v>
      </c>
      <c r="I167" s="2">
        <v>0.0</v>
      </c>
      <c r="K167" s="8" t="str">
        <f t="shared" si="1"/>
        <v>CALL InsertOrUpdateAtributosProductos ('3452','143','2','TIPO','Brillante','1','0');</v>
      </c>
    </row>
    <row r="168">
      <c r="A168" s="2">
        <v>3453.0</v>
      </c>
      <c r="B168" s="2">
        <v>143.0</v>
      </c>
      <c r="C168" s="2">
        <v>2.0</v>
      </c>
      <c r="D168" s="2" t="s">
        <v>259</v>
      </c>
      <c r="E168" s="2" t="s">
        <v>2219</v>
      </c>
      <c r="H168" s="2">
        <v>2.0</v>
      </c>
      <c r="I168" s="2">
        <v>0.0</v>
      </c>
      <c r="K168" s="8" t="str">
        <f t="shared" si="1"/>
        <v>CALL InsertOrUpdateAtributosProductos ('3453','143','2','TIPO','Satinado','2','0');</v>
      </c>
    </row>
    <row r="169">
      <c r="A169" s="2">
        <v>3454.0</v>
      </c>
      <c r="B169" s="2">
        <v>143.0</v>
      </c>
      <c r="C169" s="2">
        <v>2.0</v>
      </c>
      <c r="D169" s="2" t="s">
        <v>259</v>
      </c>
      <c r="E169" s="2" t="s">
        <v>2220</v>
      </c>
      <c r="H169" s="2">
        <v>3.0</v>
      </c>
      <c r="I169" s="2">
        <v>0.0</v>
      </c>
      <c r="K169" s="8" t="str">
        <f t="shared" si="1"/>
        <v>CALL InsertOrUpdateAtributosProductos ('3454','143','2','TIPO','Mate','3','0');</v>
      </c>
    </row>
    <row r="170">
      <c r="A170" s="2">
        <v>3455.0</v>
      </c>
      <c r="B170" s="2">
        <v>143.0</v>
      </c>
      <c r="C170" s="2">
        <v>7.0</v>
      </c>
      <c r="D170" s="2" t="s">
        <v>2212</v>
      </c>
      <c r="E170" s="2" t="s">
        <v>2213</v>
      </c>
      <c r="H170" s="2">
        <v>1.0</v>
      </c>
      <c r="I170" s="2">
        <v>0.0</v>
      </c>
      <c r="K170" s="8" t="str">
        <f t="shared" si="1"/>
        <v>CALL InsertOrUpdateAtributosProductos ('3455','143','7','UNIDAD','250 ml','1','0');</v>
      </c>
    </row>
    <row r="171">
      <c r="A171" s="2">
        <v>3456.0</v>
      </c>
      <c r="B171" s="2">
        <v>143.0</v>
      </c>
      <c r="C171" s="2">
        <v>7.0</v>
      </c>
      <c r="D171" s="2" t="s">
        <v>2212</v>
      </c>
      <c r="E171" s="2" t="s">
        <v>2214</v>
      </c>
      <c r="H171" s="2">
        <v>2.0</v>
      </c>
      <c r="I171" s="2">
        <v>0.0</v>
      </c>
      <c r="K171" s="8" t="str">
        <f t="shared" si="1"/>
        <v>CALL InsertOrUpdateAtributosProductos ('3456','143','7','UNIDAD','500 ml','2','0');</v>
      </c>
    </row>
    <row r="172">
      <c r="A172" s="2">
        <v>3457.0</v>
      </c>
      <c r="B172" s="2">
        <v>143.0</v>
      </c>
      <c r="C172" s="2">
        <v>7.0</v>
      </c>
      <c r="D172" s="2" t="s">
        <v>2212</v>
      </c>
      <c r="E172" s="2" t="s">
        <v>2215</v>
      </c>
      <c r="H172" s="2">
        <v>3.0</v>
      </c>
      <c r="I172" s="2">
        <v>0.0</v>
      </c>
      <c r="K172" s="8" t="str">
        <f t="shared" si="1"/>
        <v>CALL InsertOrUpdateAtributosProductos ('3457','143','7','UNIDAD','1 lts','3','0');</v>
      </c>
    </row>
    <row r="173">
      <c r="A173" s="2">
        <v>3458.0</v>
      </c>
      <c r="B173" s="2">
        <v>143.0</v>
      </c>
      <c r="C173" s="2">
        <v>7.0</v>
      </c>
      <c r="D173" s="2" t="s">
        <v>2212</v>
      </c>
      <c r="E173" s="2" t="s">
        <v>2216</v>
      </c>
      <c r="H173" s="2">
        <v>4.0</v>
      </c>
      <c r="I173" s="2">
        <v>0.0</v>
      </c>
      <c r="K173" s="8" t="str">
        <f t="shared" si="1"/>
        <v>CALL InsertOrUpdateAtributosProductos ('3458','143','7','UNIDAD','4 lts','4','0');</v>
      </c>
    </row>
    <row r="174">
      <c r="A174" s="2">
        <v>3459.0</v>
      </c>
      <c r="B174" s="2">
        <v>144.0</v>
      </c>
      <c r="C174" s="2">
        <v>5.0</v>
      </c>
      <c r="D174" s="2" t="s">
        <v>540</v>
      </c>
      <c r="E174" s="2" t="s">
        <v>2213</v>
      </c>
      <c r="H174" s="2">
        <v>1.0</v>
      </c>
      <c r="I174" s="2">
        <v>0.0</v>
      </c>
      <c r="K174" s="8" t="str">
        <f t="shared" si="1"/>
        <v>CALL InsertOrUpdateAtributosProductos ('3459','144','5','LITROS','250 ml','1','0');</v>
      </c>
    </row>
    <row r="175">
      <c r="A175" s="2">
        <v>3460.0</v>
      </c>
      <c r="B175" s="2">
        <v>144.0</v>
      </c>
      <c r="C175" s="2">
        <v>5.0</v>
      </c>
      <c r="D175" s="2" t="s">
        <v>540</v>
      </c>
      <c r="E175" s="2" t="s">
        <v>2214</v>
      </c>
      <c r="H175" s="2">
        <v>2.0</v>
      </c>
      <c r="I175" s="2">
        <v>0.0</v>
      </c>
      <c r="K175" s="8" t="str">
        <f t="shared" si="1"/>
        <v>CALL InsertOrUpdateAtributosProductos ('3460','144','5','LITROS','500 ml','2','0');</v>
      </c>
    </row>
    <row r="176">
      <c r="A176" s="2">
        <v>3461.0</v>
      </c>
      <c r="B176" s="2">
        <v>144.0</v>
      </c>
      <c r="C176" s="2">
        <v>5.0</v>
      </c>
      <c r="D176" s="2" t="s">
        <v>540</v>
      </c>
      <c r="E176" s="2" t="s">
        <v>2205</v>
      </c>
      <c r="H176" s="2">
        <v>3.0</v>
      </c>
      <c r="I176" s="2">
        <v>0.0</v>
      </c>
      <c r="K176" s="8" t="str">
        <f t="shared" si="1"/>
        <v>CALL InsertOrUpdateAtributosProductos ('3461','144','5','LITROS','1 litro','3','0');</v>
      </c>
    </row>
    <row r="177">
      <c r="A177" s="2">
        <v>3462.0</v>
      </c>
      <c r="B177" s="2">
        <v>144.0</v>
      </c>
      <c r="C177" s="2">
        <v>5.0</v>
      </c>
      <c r="D177" s="2" t="s">
        <v>540</v>
      </c>
      <c r="E177" s="2" t="s">
        <v>2206</v>
      </c>
      <c r="H177" s="2">
        <v>4.0</v>
      </c>
      <c r="I177" s="2">
        <v>0.0</v>
      </c>
      <c r="K177" s="8" t="str">
        <f t="shared" si="1"/>
        <v>CALL InsertOrUpdateAtributosProductos ('3462','144','5','LITROS','4 litros','4','0');</v>
      </c>
    </row>
    <row r="178">
      <c r="A178" s="2">
        <v>3463.0</v>
      </c>
      <c r="B178" s="2">
        <v>144.0</v>
      </c>
      <c r="C178" s="2">
        <v>8.0</v>
      </c>
      <c r="D178" s="2" t="s">
        <v>581</v>
      </c>
      <c r="E178" s="2" t="s">
        <v>2221</v>
      </c>
      <c r="H178" s="2">
        <v>1.0</v>
      </c>
      <c r="I178" s="2">
        <v>0.0</v>
      </c>
      <c r="K178" s="8" t="str">
        <f t="shared" si="1"/>
        <v>CALL InsertOrUpdateAtributosProductos ('3463','144','8','COLOR','Negro','1','0');</v>
      </c>
    </row>
    <row r="179">
      <c r="A179" s="2">
        <v>3464.0</v>
      </c>
      <c r="B179" s="2">
        <v>144.0</v>
      </c>
      <c r="C179" s="2">
        <v>8.0</v>
      </c>
      <c r="D179" s="2" t="s">
        <v>581</v>
      </c>
      <c r="E179" s="2" t="s">
        <v>2222</v>
      </c>
      <c r="H179" s="2">
        <v>2.0</v>
      </c>
      <c r="I179" s="2">
        <v>0.0</v>
      </c>
      <c r="K179" s="8" t="str">
        <f t="shared" si="1"/>
        <v>CALL InsertOrUpdateAtributosProductos ('3464','144','8','COLOR','Amarillo','2','0');</v>
      </c>
    </row>
    <row r="180">
      <c r="A180" s="2">
        <v>3465.0</v>
      </c>
      <c r="B180" s="2">
        <v>144.0</v>
      </c>
      <c r="C180" s="2">
        <v>8.0</v>
      </c>
      <c r="D180" s="2" t="s">
        <v>581</v>
      </c>
      <c r="E180" s="2" t="s">
        <v>2223</v>
      </c>
      <c r="H180" s="2">
        <v>3.0</v>
      </c>
      <c r="I180" s="2">
        <v>0.0</v>
      </c>
      <c r="K180" s="8" t="str">
        <f t="shared" si="1"/>
        <v>CALL InsertOrUpdateAtributosProductos ('3465','144','8','COLOR','Blanco','3','0');</v>
      </c>
    </row>
    <row r="181">
      <c r="A181" s="2">
        <v>3466.0</v>
      </c>
      <c r="B181" s="2">
        <v>144.0</v>
      </c>
      <c r="C181" s="2">
        <v>8.0</v>
      </c>
      <c r="D181" s="2" t="s">
        <v>581</v>
      </c>
      <c r="E181" s="2" t="s">
        <v>2224</v>
      </c>
      <c r="H181" s="2">
        <v>4.0</v>
      </c>
      <c r="I181" s="2">
        <v>0.0</v>
      </c>
      <c r="K181" s="8" t="str">
        <f t="shared" si="1"/>
        <v>CALL InsertOrUpdateAtributosProductos ('3466','144','8','COLOR','Gris','4','0');</v>
      </c>
    </row>
    <row r="182">
      <c r="A182" s="2">
        <v>3467.0</v>
      </c>
      <c r="B182" s="2">
        <v>144.0</v>
      </c>
      <c r="C182" s="2">
        <v>8.0</v>
      </c>
      <c r="D182" s="2" t="s">
        <v>581</v>
      </c>
      <c r="E182" s="2" t="s">
        <v>2225</v>
      </c>
      <c r="H182" s="2">
        <v>5.0</v>
      </c>
      <c r="I182" s="2">
        <v>0.0</v>
      </c>
      <c r="K182" s="8" t="str">
        <f t="shared" si="1"/>
        <v>CALL InsertOrUpdateAtributosProductos ('3467','144','8','COLOR','Marrón','5','0');</v>
      </c>
    </row>
    <row r="183">
      <c r="A183" s="2">
        <v>3468.0</v>
      </c>
      <c r="B183" s="2">
        <v>144.0</v>
      </c>
      <c r="C183" s="2">
        <v>8.0</v>
      </c>
      <c r="D183" s="2" t="s">
        <v>581</v>
      </c>
      <c r="E183" s="2" t="s">
        <v>2226</v>
      </c>
      <c r="H183" s="2">
        <v>6.0</v>
      </c>
      <c r="I183" s="2">
        <v>0.0</v>
      </c>
      <c r="K183" s="8" t="str">
        <f t="shared" si="1"/>
        <v>CALL InsertOrUpdateAtributosProductos ('3468','144','8','COLOR','Naranja','6','0');</v>
      </c>
    </row>
    <row r="184">
      <c r="A184" s="2">
        <v>3469.0</v>
      </c>
      <c r="B184" s="2">
        <v>144.0</v>
      </c>
      <c r="C184" s="2">
        <v>8.0</v>
      </c>
      <c r="D184" s="2" t="s">
        <v>581</v>
      </c>
      <c r="E184" s="2" t="s">
        <v>2227</v>
      </c>
      <c r="H184" s="2">
        <v>7.0</v>
      </c>
      <c r="I184" s="2">
        <v>0.0</v>
      </c>
      <c r="K184" s="8" t="str">
        <f t="shared" si="1"/>
        <v>CALL InsertOrUpdateAtributosProductos ('3469','144','8','COLOR','Azul Marino','7','0');</v>
      </c>
    </row>
    <row r="185">
      <c r="A185" s="2">
        <v>3470.0</v>
      </c>
      <c r="B185" s="2">
        <v>144.0</v>
      </c>
      <c r="C185" s="2">
        <v>8.0</v>
      </c>
      <c r="D185" s="2" t="s">
        <v>581</v>
      </c>
      <c r="E185" s="2" t="s">
        <v>2228</v>
      </c>
      <c r="H185" s="2">
        <v>8.0</v>
      </c>
      <c r="I185" s="2">
        <v>0.0</v>
      </c>
      <c r="K185" s="8" t="str">
        <f t="shared" si="1"/>
        <v>CALL InsertOrUpdateAtributosProductos ('3470','144','8','COLOR','Bermellón','8','0');</v>
      </c>
    </row>
    <row r="186">
      <c r="A186" s="2">
        <v>3471.0</v>
      </c>
      <c r="B186" s="2">
        <v>144.0</v>
      </c>
      <c r="C186" s="2">
        <v>8.0</v>
      </c>
      <c r="D186" s="2" t="s">
        <v>581</v>
      </c>
      <c r="E186" s="2" t="s">
        <v>2229</v>
      </c>
      <c r="H186" s="2">
        <v>9.0</v>
      </c>
      <c r="I186" s="2">
        <v>0.0</v>
      </c>
      <c r="K186" s="8" t="str">
        <f t="shared" si="1"/>
        <v>CALL InsertOrUpdateAtributosProductos ('3471','144','8','COLOR','Marfil','9','0');</v>
      </c>
    </row>
    <row r="187">
      <c r="A187" s="2">
        <v>3472.0</v>
      </c>
      <c r="B187" s="2">
        <v>144.0</v>
      </c>
      <c r="C187" s="2">
        <v>8.0</v>
      </c>
      <c r="D187" s="2" t="s">
        <v>581</v>
      </c>
      <c r="E187" s="2" t="s">
        <v>2230</v>
      </c>
      <c r="H187" s="2">
        <v>10.0</v>
      </c>
      <c r="I187" s="2">
        <v>0.0</v>
      </c>
      <c r="K187" s="8" t="str">
        <f t="shared" si="1"/>
        <v>CALL InsertOrUpdateAtributosProductos ('3472','144','8','COLOR','Verde inglés','10','0');</v>
      </c>
    </row>
    <row r="188">
      <c r="A188" s="2">
        <v>4720.0</v>
      </c>
      <c r="B188" s="2">
        <v>144.0</v>
      </c>
      <c r="C188" s="2">
        <v>5.0</v>
      </c>
      <c r="D188" s="2" t="s">
        <v>540</v>
      </c>
      <c r="E188" s="2" t="s">
        <v>2208</v>
      </c>
      <c r="H188" s="2">
        <v>4.0</v>
      </c>
      <c r="I188" s="2">
        <v>0.0</v>
      </c>
      <c r="K188" s="8" t="str">
        <f t="shared" si="1"/>
        <v>CALL InsertOrUpdateAtributosProductos ('4720','144','5','LITROS','20 litros','4','0');</v>
      </c>
    </row>
    <row r="189">
      <c r="A189" s="2">
        <v>3473.0</v>
      </c>
      <c r="B189" s="2">
        <v>145.0</v>
      </c>
      <c r="C189" s="2">
        <v>5.0</v>
      </c>
      <c r="D189" s="2" t="s">
        <v>540</v>
      </c>
      <c r="E189" s="2" t="s">
        <v>2213</v>
      </c>
      <c r="H189" s="2">
        <v>1.0</v>
      </c>
      <c r="I189" s="2">
        <v>0.0</v>
      </c>
      <c r="K189" s="8" t="str">
        <f t="shared" si="1"/>
        <v>CALL InsertOrUpdateAtributosProductos ('3473','145','5','LITROS','250 ml','1','0');</v>
      </c>
    </row>
    <row r="190">
      <c r="A190" s="2">
        <v>3474.0</v>
      </c>
      <c r="B190" s="2">
        <v>145.0</v>
      </c>
      <c r="C190" s="2">
        <v>5.0</v>
      </c>
      <c r="D190" s="2" t="s">
        <v>540</v>
      </c>
      <c r="E190" s="2" t="s">
        <v>2214</v>
      </c>
      <c r="H190" s="2">
        <v>2.0</v>
      </c>
      <c r="I190" s="2">
        <v>0.0</v>
      </c>
      <c r="K190" s="8" t="str">
        <f t="shared" si="1"/>
        <v>CALL InsertOrUpdateAtributosProductos ('3474','145','5','LITROS','500 ml','2','0');</v>
      </c>
    </row>
    <row r="191">
      <c r="A191" s="2">
        <v>3475.0</v>
      </c>
      <c r="B191" s="2">
        <v>145.0</v>
      </c>
      <c r="C191" s="2">
        <v>5.0</v>
      </c>
      <c r="D191" s="2" t="s">
        <v>540</v>
      </c>
      <c r="E191" s="2" t="s">
        <v>2205</v>
      </c>
      <c r="H191" s="2">
        <v>3.0</v>
      </c>
      <c r="I191" s="2">
        <v>0.0</v>
      </c>
      <c r="K191" s="8" t="str">
        <f t="shared" si="1"/>
        <v>CALL InsertOrUpdateAtributosProductos ('3475','145','5','LITROS','1 litro','3','0');</v>
      </c>
    </row>
    <row r="192">
      <c r="A192" s="2">
        <v>3476.0</v>
      </c>
      <c r="B192" s="2">
        <v>145.0</v>
      </c>
      <c r="C192" s="2">
        <v>5.0</v>
      </c>
      <c r="D192" s="2" t="s">
        <v>540</v>
      </c>
      <c r="E192" s="2" t="s">
        <v>2206</v>
      </c>
      <c r="H192" s="2">
        <v>4.0</v>
      </c>
      <c r="I192" s="2">
        <v>0.0</v>
      </c>
      <c r="K192" s="8" t="str">
        <f t="shared" si="1"/>
        <v>CALL InsertOrUpdateAtributosProductos ('3476','145','5','LITROS','4 litros','4','0');</v>
      </c>
    </row>
    <row r="193">
      <c r="A193" s="2">
        <v>3477.0</v>
      </c>
      <c r="B193" s="2">
        <v>145.0</v>
      </c>
      <c r="C193" s="2">
        <v>8.0</v>
      </c>
      <c r="D193" s="2" t="s">
        <v>581</v>
      </c>
      <c r="E193" s="2" t="s">
        <v>2223</v>
      </c>
      <c r="H193" s="2">
        <v>1.0</v>
      </c>
      <c r="I193" s="2">
        <v>0.0</v>
      </c>
      <c r="K193" s="8" t="str">
        <f t="shared" si="1"/>
        <v>CALL InsertOrUpdateAtributosProductos ('3477','145','8','COLOR','Blanco','1','0');</v>
      </c>
    </row>
    <row r="194">
      <c r="A194" s="2">
        <v>3478.0</v>
      </c>
      <c r="B194" s="2">
        <v>145.0</v>
      </c>
      <c r="C194" s="2">
        <v>8.0</v>
      </c>
      <c r="D194" s="2" t="s">
        <v>581</v>
      </c>
      <c r="E194" s="2" t="s">
        <v>2221</v>
      </c>
      <c r="H194" s="2">
        <v>2.0</v>
      </c>
      <c r="I194" s="2">
        <v>0.0</v>
      </c>
      <c r="K194" s="8" t="str">
        <f t="shared" si="1"/>
        <v>CALL InsertOrUpdateAtributosProductos ('3478','145','8','COLOR','Negro','2','0');</v>
      </c>
    </row>
    <row r="195">
      <c r="A195" s="2">
        <v>3479.0</v>
      </c>
      <c r="B195" s="2">
        <v>145.0</v>
      </c>
      <c r="C195" s="2">
        <v>8.0</v>
      </c>
      <c r="D195" s="2" t="s">
        <v>581</v>
      </c>
      <c r="E195" s="2" t="s">
        <v>2231</v>
      </c>
      <c r="H195" s="2">
        <v>3.0</v>
      </c>
      <c r="I195" s="2">
        <v>0.0</v>
      </c>
      <c r="K195" s="8" t="str">
        <f t="shared" si="1"/>
        <v>CALL InsertOrUpdateAtributosProductos ('3479','145','8','COLOR','Rojo','3','0');</v>
      </c>
    </row>
    <row r="196">
      <c r="A196" s="2">
        <v>3480.0</v>
      </c>
      <c r="B196" s="2">
        <v>145.0</v>
      </c>
      <c r="C196" s="2">
        <v>8.0</v>
      </c>
      <c r="D196" s="2" t="s">
        <v>581</v>
      </c>
      <c r="E196" s="2" t="s">
        <v>2226</v>
      </c>
      <c r="H196" s="2">
        <v>4.0</v>
      </c>
      <c r="I196" s="2">
        <v>0.0</v>
      </c>
      <c r="K196" s="8" t="str">
        <f t="shared" si="1"/>
        <v>CALL InsertOrUpdateAtributosProductos ('3480','145','8','COLOR','Naranja','4','0');</v>
      </c>
    </row>
    <row r="197">
      <c r="A197" s="2">
        <v>3481.0</v>
      </c>
      <c r="B197" s="2">
        <v>146.0</v>
      </c>
      <c r="C197" s="2">
        <v>8.0</v>
      </c>
      <c r="D197" s="2" t="s">
        <v>581</v>
      </c>
      <c r="E197" s="2" t="s">
        <v>2223</v>
      </c>
      <c r="H197" s="2">
        <v>1.0</v>
      </c>
      <c r="I197" s="2">
        <v>0.0</v>
      </c>
      <c r="K197" s="8" t="str">
        <f t="shared" si="1"/>
        <v>CALL InsertOrUpdateAtributosProductos ('3481','146','8','COLOR','Blanco','1','0');</v>
      </c>
    </row>
    <row r="198">
      <c r="A198" s="2">
        <v>3482.0</v>
      </c>
      <c r="B198" s="2">
        <v>146.0</v>
      </c>
      <c r="C198" s="2">
        <v>8.0</v>
      </c>
      <c r="D198" s="2" t="s">
        <v>581</v>
      </c>
      <c r="E198" s="2" t="s">
        <v>2221</v>
      </c>
      <c r="H198" s="2">
        <v>2.0</v>
      </c>
      <c r="I198" s="2">
        <v>0.0</v>
      </c>
      <c r="K198" s="8" t="str">
        <f t="shared" si="1"/>
        <v>CALL InsertOrUpdateAtributosProductos ('3482','146','8','COLOR','Negro','2','0');</v>
      </c>
    </row>
    <row r="199">
      <c r="A199" s="2">
        <v>3483.0</v>
      </c>
      <c r="B199" s="2">
        <v>146.0</v>
      </c>
      <c r="C199" s="2">
        <v>8.0</v>
      </c>
      <c r="D199" s="2" t="s">
        <v>581</v>
      </c>
      <c r="E199" s="2" t="s">
        <v>2224</v>
      </c>
      <c r="H199" s="2">
        <v>3.0</v>
      </c>
      <c r="I199" s="2">
        <v>0.0</v>
      </c>
      <c r="K199" s="8" t="str">
        <f t="shared" si="1"/>
        <v>CALL InsertOrUpdateAtributosProductos ('3483','146','8','COLOR','Gris','3','0');</v>
      </c>
    </row>
    <row r="200">
      <c r="A200" s="2">
        <v>3484.0</v>
      </c>
      <c r="B200" s="2">
        <v>146.0</v>
      </c>
      <c r="C200" s="2">
        <v>8.0</v>
      </c>
      <c r="D200" s="2" t="s">
        <v>581</v>
      </c>
      <c r="E200" s="2" t="s">
        <v>2231</v>
      </c>
      <c r="H200" s="2">
        <v>4.0</v>
      </c>
      <c r="I200" s="2">
        <v>0.0</v>
      </c>
      <c r="K200" s="8" t="str">
        <f t="shared" si="1"/>
        <v>CALL InsertOrUpdateAtributosProductos ('3484','146','8','COLOR','Rojo','4','0');</v>
      </c>
    </row>
    <row r="201">
      <c r="A201" s="2">
        <v>3485.0</v>
      </c>
      <c r="B201" s="2">
        <v>147.0</v>
      </c>
      <c r="C201" s="2">
        <v>8.0</v>
      </c>
      <c r="D201" s="2" t="s">
        <v>581</v>
      </c>
      <c r="E201" s="2" t="s">
        <v>2223</v>
      </c>
      <c r="H201" s="2">
        <v>1.0</v>
      </c>
      <c r="I201" s="2">
        <v>0.0</v>
      </c>
      <c r="K201" s="8" t="str">
        <f t="shared" si="1"/>
        <v>CALL InsertOrUpdateAtributosProductos ('3485','147','8','COLOR','Blanco','1','0');</v>
      </c>
    </row>
    <row r="202">
      <c r="A202" s="2">
        <v>3486.0</v>
      </c>
      <c r="B202" s="2">
        <v>147.0</v>
      </c>
      <c r="C202" s="2">
        <v>8.0</v>
      </c>
      <c r="D202" s="2" t="s">
        <v>581</v>
      </c>
      <c r="E202" s="2" t="s">
        <v>2221</v>
      </c>
      <c r="H202" s="2">
        <v>2.0</v>
      </c>
      <c r="I202" s="2">
        <v>0.0</v>
      </c>
      <c r="K202" s="8" t="str">
        <f t="shared" si="1"/>
        <v>CALL InsertOrUpdateAtributosProductos ('3486','147','8','COLOR','Negro','2','0');</v>
      </c>
    </row>
    <row r="203">
      <c r="A203" s="2">
        <v>3487.0</v>
      </c>
      <c r="B203" s="2">
        <v>147.0</v>
      </c>
      <c r="C203" s="2">
        <v>8.0</v>
      </c>
      <c r="D203" s="2" t="s">
        <v>581</v>
      </c>
      <c r="E203" s="2" t="s">
        <v>2224</v>
      </c>
      <c r="H203" s="2">
        <v>3.0</v>
      </c>
      <c r="I203" s="2">
        <v>0.0</v>
      </c>
      <c r="K203" s="8" t="str">
        <f t="shared" si="1"/>
        <v>CALL InsertOrUpdateAtributosProductos ('3487','147','8','COLOR','Gris','3','0');</v>
      </c>
    </row>
    <row r="204">
      <c r="A204" s="2">
        <v>4721.0</v>
      </c>
      <c r="B204" s="2">
        <v>147.0</v>
      </c>
      <c r="C204" s="2">
        <v>5.0</v>
      </c>
      <c r="D204" s="2" t="s">
        <v>540</v>
      </c>
      <c r="E204" s="2" t="s">
        <v>2232</v>
      </c>
      <c r="H204" s="2">
        <v>1.0</v>
      </c>
      <c r="I204" s="2">
        <v>0.0</v>
      </c>
      <c r="K204" s="8" t="str">
        <f t="shared" si="1"/>
        <v>CALL InsertOrUpdateAtributosProductos ('4721','147','5','LITROS','1 Litro','1','0');</v>
      </c>
    </row>
    <row r="205">
      <c r="A205" s="2">
        <v>4722.0</v>
      </c>
      <c r="B205" s="2">
        <v>147.0</v>
      </c>
      <c r="C205" s="2">
        <v>5.0</v>
      </c>
      <c r="D205" s="2" t="s">
        <v>540</v>
      </c>
      <c r="E205" s="2" t="s">
        <v>2233</v>
      </c>
      <c r="H205" s="2">
        <v>2.0</v>
      </c>
      <c r="I205" s="2">
        <v>0.0</v>
      </c>
      <c r="K205" s="8" t="str">
        <f t="shared" si="1"/>
        <v>CALL InsertOrUpdateAtributosProductos ('4722','147','5','LITROS','4 Litros','2','0');</v>
      </c>
    </row>
    <row r="206">
      <c r="A206" s="2">
        <v>3488.0</v>
      </c>
      <c r="B206" s="2">
        <v>148.0</v>
      </c>
      <c r="C206" s="2">
        <v>5.0</v>
      </c>
      <c r="D206" s="2" t="s">
        <v>540</v>
      </c>
      <c r="E206" s="2" t="s">
        <v>2205</v>
      </c>
      <c r="H206" s="2">
        <v>1.0</v>
      </c>
      <c r="I206" s="2">
        <v>0.0</v>
      </c>
      <c r="K206" s="8" t="str">
        <f t="shared" si="1"/>
        <v>CALL InsertOrUpdateAtributosProductos ('3488','148','5','LITROS','1 litro','1','0');</v>
      </c>
    </row>
    <row r="207">
      <c r="A207" s="2">
        <v>3489.0</v>
      </c>
      <c r="B207" s="2">
        <v>148.0</v>
      </c>
      <c r="C207" s="2">
        <v>5.0</v>
      </c>
      <c r="D207" s="2" t="s">
        <v>540</v>
      </c>
      <c r="E207" s="2" t="s">
        <v>2206</v>
      </c>
      <c r="H207" s="2">
        <v>2.0</v>
      </c>
      <c r="I207" s="2">
        <v>0.0</v>
      </c>
      <c r="K207" s="8" t="str">
        <f t="shared" si="1"/>
        <v>CALL InsertOrUpdateAtributosProductos ('3489','148','5','LITROS','4 litros','2','0');</v>
      </c>
    </row>
    <row r="208">
      <c r="A208" s="2">
        <v>3490.0</v>
      </c>
      <c r="B208" s="2">
        <v>149.0</v>
      </c>
      <c r="C208" s="2">
        <v>5.0</v>
      </c>
      <c r="D208" s="2" t="s">
        <v>540</v>
      </c>
      <c r="E208" s="2" t="s">
        <v>2205</v>
      </c>
      <c r="H208" s="2">
        <v>1.0</v>
      </c>
      <c r="I208" s="2">
        <v>0.0</v>
      </c>
      <c r="K208" s="8" t="str">
        <f t="shared" si="1"/>
        <v>CALL InsertOrUpdateAtributosProductos ('3490','149','5','LITROS','1 litro','1','0');</v>
      </c>
    </row>
    <row r="209">
      <c r="A209" s="2">
        <v>3491.0</v>
      </c>
      <c r="B209" s="2">
        <v>149.0</v>
      </c>
      <c r="C209" s="2">
        <v>5.0</v>
      </c>
      <c r="D209" s="2" t="s">
        <v>540</v>
      </c>
      <c r="E209" s="2" t="s">
        <v>2206</v>
      </c>
      <c r="H209" s="2">
        <v>2.0</v>
      </c>
      <c r="I209" s="2">
        <v>0.0</v>
      </c>
      <c r="K209" s="8" t="str">
        <f t="shared" si="1"/>
        <v>CALL InsertOrUpdateAtributosProductos ('3491','149','5','LITROS','4 litros','2','0');</v>
      </c>
    </row>
    <row r="210">
      <c r="A210" s="2">
        <v>3492.0</v>
      </c>
      <c r="B210" s="2">
        <v>150.0</v>
      </c>
      <c r="C210" s="2">
        <v>5.0</v>
      </c>
      <c r="D210" s="2" t="s">
        <v>540</v>
      </c>
      <c r="E210" s="2" t="s">
        <v>2205</v>
      </c>
      <c r="H210" s="2">
        <v>1.0</v>
      </c>
      <c r="I210" s="2">
        <v>0.0</v>
      </c>
      <c r="K210" s="8" t="str">
        <f t="shared" si="1"/>
        <v>CALL InsertOrUpdateAtributosProductos ('3492','150','5','LITROS','1 litro','1','0');</v>
      </c>
    </row>
    <row r="211">
      <c r="A211" s="2">
        <v>3493.0</v>
      </c>
      <c r="B211" s="2">
        <v>150.0</v>
      </c>
      <c r="C211" s="2">
        <v>5.0</v>
      </c>
      <c r="D211" s="2" t="s">
        <v>540</v>
      </c>
      <c r="E211" s="2" t="s">
        <v>2206</v>
      </c>
      <c r="H211" s="2">
        <v>2.0</v>
      </c>
      <c r="I211" s="2">
        <v>0.0</v>
      </c>
      <c r="K211" s="8" t="str">
        <f t="shared" si="1"/>
        <v>CALL InsertOrUpdateAtributosProductos ('3493','150','5','LITROS','4 litros','2','0');</v>
      </c>
    </row>
    <row r="212">
      <c r="A212" s="2">
        <v>3494.0</v>
      </c>
      <c r="B212" s="2">
        <v>150.0</v>
      </c>
      <c r="C212" s="2">
        <v>8.0</v>
      </c>
      <c r="D212" s="2" t="s">
        <v>581</v>
      </c>
      <c r="E212" s="2" t="s">
        <v>2234</v>
      </c>
      <c r="H212" s="2">
        <v>1.0</v>
      </c>
      <c r="I212" s="2">
        <v>0.0</v>
      </c>
      <c r="K212" s="8" t="str">
        <f t="shared" si="1"/>
        <v>CALL InsertOrUpdateAtributosProductos ('3494','150','8','COLOR','Incoloro','1','0');</v>
      </c>
    </row>
    <row r="213">
      <c r="A213" s="2">
        <v>3495.0</v>
      </c>
      <c r="B213" s="2">
        <v>150.0</v>
      </c>
      <c r="C213" s="2">
        <v>8.0</v>
      </c>
      <c r="D213" s="2" t="s">
        <v>581</v>
      </c>
      <c r="E213" s="2" t="s">
        <v>2221</v>
      </c>
      <c r="H213" s="2">
        <v>2.0</v>
      </c>
      <c r="I213" s="2">
        <v>0.0</v>
      </c>
      <c r="K213" s="8" t="str">
        <f t="shared" si="1"/>
        <v>CALL InsertOrUpdateAtributosProductos ('3495','150','8','COLOR','Negro','2','0');</v>
      </c>
    </row>
    <row r="214">
      <c r="A214" s="2">
        <v>3496.0</v>
      </c>
      <c r="B214" s="2">
        <v>150.0</v>
      </c>
      <c r="C214" s="2">
        <v>8.0</v>
      </c>
      <c r="D214" s="2" t="s">
        <v>581</v>
      </c>
      <c r="E214" s="2" t="s">
        <v>2231</v>
      </c>
      <c r="H214" s="2">
        <v>3.0</v>
      </c>
      <c r="I214" s="2">
        <v>0.0</v>
      </c>
      <c r="K214" s="8" t="str">
        <f t="shared" si="1"/>
        <v>CALL InsertOrUpdateAtributosProductos ('3496','150','8','COLOR','Rojo','3','0');</v>
      </c>
    </row>
    <row r="215">
      <c r="A215" s="2">
        <v>3497.0</v>
      </c>
      <c r="B215" s="2">
        <v>151.0</v>
      </c>
      <c r="C215" s="2">
        <v>5.0</v>
      </c>
      <c r="D215" s="2" t="s">
        <v>540</v>
      </c>
      <c r="E215" s="2" t="s">
        <v>2205</v>
      </c>
      <c r="H215" s="2">
        <v>1.0</v>
      </c>
      <c r="I215" s="2">
        <v>0.0</v>
      </c>
      <c r="K215" s="8" t="str">
        <f t="shared" si="1"/>
        <v>CALL InsertOrUpdateAtributosProductos ('3497','151','5','LITROS','1 litro','1','0');</v>
      </c>
    </row>
    <row r="216">
      <c r="A216" s="2">
        <v>3498.0</v>
      </c>
      <c r="B216" s="2">
        <v>151.0</v>
      </c>
      <c r="C216" s="2">
        <v>5.0</v>
      </c>
      <c r="D216" s="2" t="s">
        <v>540</v>
      </c>
      <c r="E216" s="2" t="s">
        <v>2206</v>
      </c>
      <c r="H216" s="2">
        <v>2.0</v>
      </c>
      <c r="I216" s="2">
        <v>0.0</v>
      </c>
      <c r="K216" s="8" t="str">
        <f t="shared" si="1"/>
        <v>CALL InsertOrUpdateAtributosProductos ('3498','151','5','LITROS','4 litros','2','0');</v>
      </c>
    </row>
    <row r="217">
      <c r="A217" s="2">
        <v>3499.0</v>
      </c>
      <c r="B217" s="2">
        <v>151.0</v>
      </c>
      <c r="C217" s="2">
        <v>8.0</v>
      </c>
      <c r="D217" s="2" t="s">
        <v>581</v>
      </c>
      <c r="E217" s="2" t="s">
        <v>2235</v>
      </c>
      <c r="H217" s="2">
        <v>1.0</v>
      </c>
      <c r="I217" s="2">
        <v>0.0</v>
      </c>
      <c r="K217" s="8" t="str">
        <f t="shared" si="1"/>
        <v>CALL InsertOrUpdateAtributosProductos ('3499','151','8','COLOR','Verde esmeralda','1','0');</v>
      </c>
    </row>
    <row r="218">
      <c r="A218" s="2">
        <v>3500.0</v>
      </c>
      <c r="B218" s="2">
        <v>151.0</v>
      </c>
      <c r="C218" s="2">
        <v>8.0</v>
      </c>
      <c r="D218" s="2" t="s">
        <v>581</v>
      </c>
      <c r="E218" s="2" t="s">
        <v>2236</v>
      </c>
      <c r="H218" s="2">
        <v>2.0</v>
      </c>
      <c r="I218" s="2">
        <v>0.0</v>
      </c>
      <c r="K218" s="8" t="str">
        <f t="shared" si="1"/>
        <v>CALL InsertOrUpdateAtributosProductos ('3500','151','8','COLOR','Azul oscuro','2','0');</v>
      </c>
    </row>
    <row r="219">
      <c r="A219" s="2">
        <v>3501.0</v>
      </c>
      <c r="B219" s="2">
        <v>151.0</v>
      </c>
      <c r="C219" s="2">
        <v>8.0</v>
      </c>
      <c r="D219" s="2" t="s">
        <v>581</v>
      </c>
      <c r="E219" s="2" t="s">
        <v>2237</v>
      </c>
      <c r="H219" s="2">
        <v>3.0</v>
      </c>
      <c r="I219" s="2">
        <v>0.0</v>
      </c>
      <c r="K219" s="8" t="str">
        <f t="shared" si="1"/>
        <v>CALL InsertOrUpdateAtributosProductos ('3501','151','8','COLOR','Gris acero','3','0');</v>
      </c>
    </row>
    <row r="220">
      <c r="A220" s="2">
        <v>3502.0</v>
      </c>
      <c r="B220" s="2">
        <v>152.0</v>
      </c>
      <c r="C220" s="2">
        <v>5.0</v>
      </c>
      <c r="D220" s="2" t="s">
        <v>540</v>
      </c>
      <c r="E220" s="2" t="s">
        <v>2205</v>
      </c>
      <c r="H220" s="2">
        <v>1.0</v>
      </c>
      <c r="I220" s="2">
        <v>0.0</v>
      </c>
      <c r="K220" s="8" t="str">
        <f t="shared" si="1"/>
        <v>CALL InsertOrUpdateAtributosProductos ('3502','152','5','LITROS','1 litro','1','0');</v>
      </c>
    </row>
    <row r="221">
      <c r="A221" s="2">
        <v>3503.0</v>
      </c>
      <c r="B221" s="2">
        <v>152.0</v>
      </c>
      <c r="C221" s="2">
        <v>5.0</v>
      </c>
      <c r="D221" s="2" t="s">
        <v>540</v>
      </c>
      <c r="E221" s="2" t="s">
        <v>2206</v>
      </c>
      <c r="H221" s="2">
        <v>2.0</v>
      </c>
      <c r="I221" s="2">
        <v>0.0</v>
      </c>
      <c r="K221" s="8" t="str">
        <f t="shared" si="1"/>
        <v>CALL InsertOrUpdateAtributosProductos ('3503','152','5','LITROS','4 litros','2','0');</v>
      </c>
    </row>
    <row r="222">
      <c r="A222" s="2">
        <v>3504.0</v>
      </c>
      <c r="B222" s="2">
        <v>152.0</v>
      </c>
      <c r="C222" s="2">
        <v>8.0</v>
      </c>
      <c r="D222" s="2" t="s">
        <v>581</v>
      </c>
      <c r="E222" s="2" t="s">
        <v>2223</v>
      </c>
      <c r="H222" s="2">
        <v>1.0</v>
      </c>
      <c r="I222" s="2">
        <v>0.0</v>
      </c>
      <c r="K222" s="8" t="str">
        <f t="shared" si="1"/>
        <v>CALL InsertOrUpdateAtributosProductos ('3504','152','8','COLOR','Blanco','1','0');</v>
      </c>
    </row>
    <row r="223">
      <c r="A223" s="2">
        <v>3505.0</v>
      </c>
      <c r="B223" s="2">
        <v>152.0</v>
      </c>
      <c r="C223" s="2">
        <v>8.0</v>
      </c>
      <c r="D223" s="2" t="s">
        <v>581</v>
      </c>
      <c r="E223" s="2" t="s">
        <v>2221</v>
      </c>
      <c r="H223" s="2">
        <v>2.0</v>
      </c>
      <c r="I223" s="2">
        <v>0.0</v>
      </c>
      <c r="K223" s="8" t="str">
        <f t="shared" si="1"/>
        <v>CALL InsertOrUpdateAtributosProductos ('3505','152','8','COLOR','Negro','2','0');</v>
      </c>
    </row>
    <row r="224">
      <c r="A224" s="2">
        <v>3506.0</v>
      </c>
      <c r="B224" s="2">
        <v>152.0</v>
      </c>
      <c r="C224" s="2">
        <v>8.0</v>
      </c>
      <c r="D224" s="2" t="s">
        <v>581</v>
      </c>
      <c r="E224" s="2" t="s">
        <v>2222</v>
      </c>
      <c r="H224" s="2">
        <v>3.0</v>
      </c>
      <c r="I224" s="2">
        <v>0.0</v>
      </c>
      <c r="K224" s="8" t="str">
        <f t="shared" si="1"/>
        <v>CALL InsertOrUpdateAtributosProductos ('3506','152','8','COLOR','Amarillo','3','0');</v>
      </c>
    </row>
    <row r="225">
      <c r="A225" s="2">
        <v>3507.0</v>
      </c>
      <c r="B225" s="2">
        <v>152.0</v>
      </c>
      <c r="C225" s="2">
        <v>8.0</v>
      </c>
      <c r="D225" s="2" t="s">
        <v>581</v>
      </c>
      <c r="E225" s="2" t="s">
        <v>2238</v>
      </c>
      <c r="H225" s="2">
        <v>4.0</v>
      </c>
      <c r="I225" s="2">
        <v>0.0</v>
      </c>
      <c r="K225" s="8" t="str">
        <f t="shared" si="1"/>
        <v>CALL InsertOrUpdateAtributosProductos ('3507','152','8','COLOR','Azul bandera','4','0');</v>
      </c>
    </row>
    <row r="226">
      <c r="A226" s="2">
        <v>3508.0</v>
      </c>
      <c r="B226" s="2">
        <v>152.0</v>
      </c>
      <c r="C226" s="2">
        <v>8.0</v>
      </c>
      <c r="D226" s="2" t="s">
        <v>581</v>
      </c>
      <c r="E226" s="2" t="s">
        <v>2239</v>
      </c>
      <c r="H226" s="2">
        <v>5.0</v>
      </c>
      <c r="I226" s="2">
        <v>0.0</v>
      </c>
      <c r="K226" s="8" t="str">
        <f t="shared" si="1"/>
        <v>CALL InsertOrUpdateAtributosProductos ('3508','152','8','COLOR','Bermellon','5','0');</v>
      </c>
    </row>
    <row r="227">
      <c r="A227" s="2">
        <v>3509.0</v>
      </c>
      <c r="B227" s="2">
        <v>152.0</v>
      </c>
      <c r="C227" s="2">
        <v>8.0</v>
      </c>
      <c r="D227" s="2" t="s">
        <v>581</v>
      </c>
      <c r="E227" s="2" t="s">
        <v>2226</v>
      </c>
      <c r="H227" s="2">
        <v>6.0</v>
      </c>
      <c r="I227" s="2">
        <v>0.0</v>
      </c>
      <c r="K227" s="8" t="str">
        <f t="shared" si="1"/>
        <v>CALL InsertOrUpdateAtributosProductos ('3509','152','8','COLOR','Naranja','6','0');</v>
      </c>
    </row>
    <row r="228">
      <c r="A228" s="2">
        <v>3510.0</v>
      </c>
      <c r="B228" s="2">
        <v>153.0</v>
      </c>
      <c r="C228" s="2">
        <v>5.0</v>
      </c>
      <c r="D228" s="2" t="s">
        <v>540</v>
      </c>
      <c r="E228" s="2" t="s">
        <v>2205</v>
      </c>
      <c r="H228" s="2">
        <v>1.0</v>
      </c>
      <c r="I228" s="2">
        <v>0.0</v>
      </c>
      <c r="K228" s="8" t="str">
        <f t="shared" si="1"/>
        <v>CALL InsertOrUpdateAtributosProductos ('3510','153','5','LITROS','1 litro','1','0');</v>
      </c>
    </row>
    <row r="229">
      <c r="A229" s="2">
        <v>3511.0</v>
      </c>
      <c r="B229" s="2">
        <v>153.0</v>
      </c>
      <c r="C229" s="2">
        <v>5.0</v>
      </c>
      <c r="D229" s="2" t="s">
        <v>540</v>
      </c>
      <c r="E229" s="2" t="s">
        <v>2206</v>
      </c>
      <c r="H229" s="2">
        <v>2.0</v>
      </c>
      <c r="I229" s="2">
        <v>0.0</v>
      </c>
      <c r="K229" s="8" t="str">
        <f t="shared" si="1"/>
        <v>CALL InsertOrUpdateAtributosProductos ('3511','153','5','LITROS','4 litros','2','0');</v>
      </c>
    </row>
    <row r="230">
      <c r="A230" s="2">
        <v>3512.0</v>
      </c>
      <c r="B230" s="2">
        <v>153.0</v>
      </c>
      <c r="C230" s="2">
        <v>8.0</v>
      </c>
      <c r="D230" s="2" t="s">
        <v>581</v>
      </c>
      <c r="E230" s="2" t="s">
        <v>2223</v>
      </c>
      <c r="H230" s="2">
        <v>1.0</v>
      </c>
      <c r="I230" s="2">
        <v>0.0</v>
      </c>
      <c r="K230" s="8" t="str">
        <f t="shared" si="1"/>
        <v>CALL InsertOrUpdateAtributosProductos ('3512','153','8','COLOR','Blanco','1','0');</v>
      </c>
    </row>
    <row r="231">
      <c r="A231" s="2">
        <v>3513.0</v>
      </c>
      <c r="B231" s="2">
        <v>153.0</v>
      </c>
      <c r="C231" s="2">
        <v>8.0</v>
      </c>
      <c r="D231" s="2" t="s">
        <v>581</v>
      </c>
      <c r="E231" s="2" t="s">
        <v>2221</v>
      </c>
      <c r="H231" s="2">
        <v>2.0</v>
      </c>
      <c r="I231" s="2">
        <v>0.0</v>
      </c>
      <c r="K231" s="8" t="str">
        <f t="shared" si="1"/>
        <v>CALL InsertOrUpdateAtributosProductos ('3513','153','8','COLOR','Negro','2','0');</v>
      </c>
    </row>
    <row r="232">
      <c r="A232" s="2">
        <v>3514.0</v>
      </c>
      <c r="B232" s="2">
        <v>153.0</v>
      </c>
      <c r="C232" s="2">
        <v>8.0</v>
      </c>
      <c r="D232" s="2" t="s">
        <v>581</v>
      </c>
      <c r="E232" s="2" t="s">
        <v>2240</v>
      </c>
      <c r="H232" s="2">
        <v>3.0</v>
      </c>
      <c r="I232" s="2">
        <v>0.0</v>
      </c>
      <c r="K232" s="8" t="str">
        <f t="shared" si="1"/>
        <v>CALL InsertOrUpdateAtributosProductos ('3514','153','8','COLOR','Amarillo industrial','3','0');</v>
      </c>
    </row>
    <row r="233">
      <c r="A233" s="2">
        <v>3515.0</v>
      </c>
      <c r="B233" s="2">
        <v>153.0</v>
      </c>
      <c r="C233" s="2">
        <v>8.0</v>
      </c>
      <c r="D233" s="2" t="s">
        <v>581</v>
      </c>
      <c r="E233" s="2" t="s">
        <v>2241</v>
      </c>
      <c r="H233" s="2">
        <v>4.0</v>
      </c>
      <c r="I233" s="2">
        <v>0.0</v>
      </c>
      <c r="K233" s="8" t="str">
        <f t="shared" si="1"/>
        <v>CALL InsertOrUpdateAtributosProductos ('3515','153','8','COLOR','Gris perla','4','0');</v>
      </c>
    </row>
    <row r="234">
      <c r="A234" s="2">
        <v>3516.0</v>
      </c>
      <c r="B234" s="2">
        <v>153.0</v>
      </c>
      <c r="C234" s="2">
        <v>8.0</v>
      </c>
      <c r="D234" s="2" t="s">
        <v>581</v>
      </c>
      <c r="E234" s="2" t="s">
        <v>2242</v>
      </c>
      <c r="H234" s="2">
        <v>5.0</v>
      </c>
      <c r="I234" s="2">
        <v>0.0</v>
      </c>
      <c r="K234" s="8" t="str">
        <f t="shared" si="1"/>
        <v>CALL InsertOrUpdateAtributosProductos ('3516','153','8','COLOR','Azul mediano','5','0');</v>
      </c>
    </row>
    <row r="235">
      <c r="A235" s="2">
        <v>3517.0</v>
      </c>
      <c r="B235" s="2">
        <v>153.0</v>
      </c>
      <c r="C235" s="2">
        <v>8.0</v>
      </c>
      <c r="D235" s="2" t="s">
        <v>581</v>
      </c>
      <c r="E235" s="2" t="s">
        <v>2226</v>
      </c>
      <c r="H235" s="2">
        <v>6.0</v>
      </c>
      <c r="I235" s="2">
        <v>0.0</v>
      </c>
      <c r="K235" s="8" t="str">
        <f t="shared" si="1"/>
        <v>CALL InsertOrUpdateAtributosProductos ('3517','153','8','COLOR','Naranja','6','0');</v>
      </c>
    </row>
    <row r="236">
      <c r="A236" s="2">
        <v>3518.0</v>
      </c>
      <c r="B236" s="2">
        <v>153.0</v>
      </c>
      <c r="C236" s="2">
        <v>8.0</v>
      </c>
      <c r="D236" s="2" t="s">
        <v>581</v>
      </c>
      <c r="E236" s="2" t="s">
        <v>2243</v>
      </c>
      <c r="H236" s="2">
        <v>7.0</v>
      </c>
      <c r="I236" s="2">
        <v>0.0</v>
      </c>
      <c r="K236" s="8" t="str">
        <f t="shared" si="1"/>
        <v>CALL InsertOrUpdateAtributosProductos ('3518','153','8','COLOR','Rojo vivo','7','0');</v>
      </c>
    </row>
    <row r="237">
      <c r="A237" s="2">
        <v>3519.0</v>
      </c>
      <c r="B237" s="2">
        <v>153.0</v>
      </c>
      <c r="C237" s="2">
        <v>8.0</v>
      </c>
      <c r="D237" s="2" t="s">
        <v>581</v>
      </c>
      <c r="E237" s="2" t="s">
        <v>2230</v>
      </c>
      <c r="H237" s="2">
        <v>8.0</v>
      </c>
      <c r="I237" s="2">
        <v>0.0</v>
      </c>
      <c r="K237" s="8" t="str">
        <f t="shared" si="1"/>
        <v>CALL InsertOrUpdateAtributosProductos ('3519','153','8','COLOR','Verde inglés','8','0');</v>
      </c>
    </row>
    <row r="238">
      <c r="A238" s="2">
        <v>3520.0</v>
      </c>
      <c r="B238" s="2">
        <v>154.0</v>
      </c>
      <c r="C238" s="2">
        <v>5.0</v>
      </c>
      <c r="D238" s="2" t="s">
        <v>540</v>
      </c>
      <c r="E238" s="2" t="s">
        <v>2205</v>
      </c>
      <c r="H238" s="2">
        <v>1.0</v>
      </c>
      <c r="I238" s="2">
        <v>0.0</v>
      </c>
      <c r="K238" s="8" t="str">
        <f t="shared" si="1"/>
        <v>CALL InsertOrUpdateAtributosProductos ('3520','154','5','LITROS','1 litro','1','0');</v>
      </c>
    </row>
    <row r="239">
      <c r="A239" s="2">
        <v>3521.0</v>
      </c>
      <c r="B239" s="2">
        <v>154.0</v>
      </c>
      <c r="C239" s="2">
        <v>5.0</v>
      </c>
      <c r="D239" s="2" t="s">
        <v>540</v>
      </c>
      <c r="E239" s="2" t="s">
        <v>2206</v>
      </c>
      <c r="H239" s="2">
        <v>2.0</v>
      </c>
      <c r="I239" s="2">
        <v>0.0</v>
      </c>
      <c r="K239" s="8" t="str">
        <f t="shared" si="1"/>
        <v>CALL InsertOrUpdateAtributosProductos ('3521','154','5','LITROS','4 litros','2','0');</v>
      </c>
    </row>
    <row r="240">
      <c r="A240" s="2">
        <v>3522.0</v>
      </c>
      <c r="B240" s="2">
        <v>155.0</v>
      </c>
      <c r="C240" s="2">
        <v>8.0</v>
      </c>
      <c r="D240" s="2" t="s">
        <v>581</v>
      </c>
      <c r="E240" s="2" t="s">
        <v>2244</v>
      </c>
      <c r="H240" s="2">
        <v>1.0</v>
      </c>
      <c r="I240" s="2">
        <v>0.0</v>
      </c>
      <c r="K240" s="8" t="str">
        <f t="shared" si="1"/>
        <v>CALL InsertOrUpdateAtributosProductos ('3522','155','8','COLOR','Cedro','1','0');</v>
      </c>
    </row>
    <row r="241">
      <c r="A241" s="2">
        <v>3523.0</v>
      </c>
      <c r="B241" s="2">
        <v>155.0</v>
      </c>
      <c r="C241" s="2">
        <v>8.0</v>
      </c>
      <c r="D241" s="2" t="s">
        <v>581</v>
      </c>
      <c r="E241" s="2" t="s">
        <v>2245</v>
      </c>
      <c r="H241" s="2">
        <v>2.0</v>
      </c>
      <c r="I241" s="2">
        <v>0.0</v>
      </c>
      <c r="K241" s="8" t="str">
        <f t="shared" si="1"/>
        <v>CALL InsertOrUpdateAtributosProductos ('3523','155','8','COLOR','Caoba','2','0');</v>
      </c>
    </row>
    <row r="242">
      <c r="A242" s="2">
        <v>3524.0</v>
      </c>
      <c r="B242" s="2">
        <v>155.0</v>
      </c>
      <c r="C242" s="2">
        <v>8.0</v>
      </c>
      <c r="D242" s="2" t="s">
        <v>581</v>
      </c>
      <c r="E242" s="2" t="s">
        <v>2246</v>
      </c>
      <c r="H242" s="2">
        <v>3.0</v>
      </c>
      <c r="I242" s="2">
        <v>0.0</v>
      </c>
      <c r="K242" s="8" t="str">
        <f t="shared" si="1"/>
        <v>CALL InsertOrUpdateAtributosProductos ('3524','155','8','COLOR','Natural','3','0');</v>
      </c>
    </row>
    <row r="243">
      <c r="A243" s="2">
        <v>3525.0</v>
      </c>
      <c r="B243" s="2">
        <v>155.0</v>
      </c>
      <c r="C243" s="2">
        <v>8.0</v>
      </c>
      <c r="D243" s="2" t="s">
        <v>581</v>
      </c>
      <c r="E243" s="2" t="s">
        <v>2247</v>
      </c>
      <c r="H243" s="2">
        <v>4.0</v>
      </c>
      <c r="I243" s="2">
        <v>0.0</v>
      </c>
      <c r="K243" s="8" t="str">
        <f t="shared" si="1"/>
        <v>CALL InsertOrUpdateAtributosProductos ('3525','155','8','COLOR','Nogal','4','0');</v>
      </c>
    </row>
    <row r="244">
      <c r="A244" s="2">
        <v>3526.0</v>
      </c>
      <c r="B244" s="2">
        <v>155.0</v>
      </c>
      <c r="C244" s="2">
        <v>8.0</v>
      </c>
      <c r="D244" s="2" t="s">
        <v>581</v>
      </c>
      <c r="E244" s="2" t="s">
        <v>2248</v>
      </c>
      <c r="H244" s="2">
        <v>5.0</v>
      </c>
      <c r="I244" s="2">
        <v>0.0</v>
      </c>
      <c r="K244" s="8" t="str">
        <f t="shared" si="1"/>
        <v>CALL InsertOrUpdateAtributosProductos ('3526','155','8','COLOR','Pino','5','0');</v>
      </c>
    </row>
    <row r="245">
      <c r="A245" s="2">
        <v>3527.0</v>
      </c>
      <c r="B245" s="2">
        <v>155.0</v>
      </c>
      <c r="C245" s="2">
        <v>8.0</v>
      </c>
      <c r="D245" s="2" t="s">
        <v>581</v>
      </c>
      <c r="E245" s="2" t="s">
        <v>2249</v>
      </c>
      <c r="H245" s="2">
        <v>6.0</v>
      </c>
      <c r="I245" s="2">
        <v>0.0</v>
      </c>
      <c r="K245" s="8" t="str">
        <f t="shared" si="1"/>
        <v>CALL InsertOrUpdateAtributosProductos ('3527','155','8','COLOR','Roble claro','6','0');</v>
      </c>
    </row>
    <row r="246">
      <c r="A246" s="2">
        <v>3528.0</v>
      </c>
      <c r="B246" s="2">
        <v>155.0</v>
      </c>
      <c r="C246" s="2">
        <v>8.0</v>
      </c>
      <c r="D246" s="2" t="s">
        <v>581</v>
      </c>
      <c r="E246" s="2" t="s">
        <v>2250</v>
      </c>
      <c r="H246" s="2">
        <v>7.0</v>
      </c>
      <c r="I246" s="2">
        <v>0.0</v>
      </c>
      <c r="K246" s="8" t="str">
        <f t="shared" si="1"/>
        <v>CALL InsertOrUpdateAtributosProductos ('3528','155','8','COLOR','Roble oscuro','7','0');</v>
      </c>
    </row>
    <row r="247">
      <c r="A247" s="2">
        <v>3529.0</v>
      </c>
      <c r="B247" s="2">
        <v>155.0</v>
      </c>
      <c r="C247" s="2">
        <v>8.0</v>
      </c>
      <c r="D247" s="2" t="s">
        <v>581</v>
      </c>
      <c r="E247" s="2" t="s">
        <v>2251</v>
      </c>
      <c r="H247" s="2">
        <v>8.0</v>
      </c>
      <c r="I247" s="2">
        <v>0.0</v>
      </c>
      <c r="K247" s="8" t="str">
        <f t="shared" si="1"/>
        <v>CALL InsertOrUpdateAtributosProductos ('3529','155','8','COLOR','Viraró','8','0');</v>
      </c>
    </row>
    <row r="248">
      <c r="A248" s="2">
        <v>3530.0</v>
      </c>
      <c r="B248" s="2">
        <v>156.0</v>
      </c>
      <c r="C248" s="2">
        <v>9.0</v>
      </c>
      <c r="D248" s="2" t="s">
        <v>617</v>
      </c>
      <c r="E248" s="2" t="s">
        <v>2218</v>
      </c>
      <c r="H248" s="2">
        <v>1.0</v>
      </c>
      <c r="I248" s="2">
        <v>0.0</v>
      </c>
      <c r="K248" s="8" t="str">
        <f t="shared" si="1"/>
        <v>CALL InsertOrUpdateAtributosProductos ('3530','156','9','TERMINACION','Brillante','1','0');</v>
      </c>
    </row>
    <row r="249">
      <c r="A249" s="2">
        <v>3531.0</v>
      </c>
      <c r="B249" s="2">
        <v>156.0</v>
      </c>
      <c r="C249" s="2">
        <v>9.0</v>
      </c>
      <c r="D249" s="2" t="s">
        <v>617</v>
      </c>
      <c r="E249" s="2" t="s">
        <v>2219</v>
      </c>
      <c r="H249" s="2">
        <v>2.0</v>
      </c>
      <c r="I249" s="2">
        <v>0.0</v>
      </c>
      <c r="K249" s="8" t="str">
        <f t="shared" si="1"/>
        <v>CALL InsertOrUpdateAtributosProductos ('3531','156','9','TERMINACION','Satinado','2','0');</v>
      </c>
    </row>
    <row r="250">
      <c r="A250" s="2">
        <v>3532.0</v>
      </c>
      <c r="B250" s="2">
        <v>156.0</v>
      </c>
      <c r="C250" s="2">
        <v>5.0</v>
      </c>
      <c r="D250" s="2" t="s">
        <v>540</v>
      </c>
      <c r="E250" s="2" t="s">
        <v>2205</v>
      </c>
      <c r="H250" s="2">
        <v>1.0</v>
      </c>
      <c r="I250" s="2">
        <v>0.0</v>
      </c>
      <c r="K250" s="8" t="str">
        <f t="shared" si="1"/>
        <v>CALL InsertOrUpdateAtributosProductos ('3532','156','5','LITROS','1 litro','1','0');</v>
      </c>
    </row>
    <row r="251">
      <c r="A251" s="2">
        <v>3533.0</v>
      </c>
      <c r="B251" s="2">
        <v>156.0</v>
      </c>
      <c r="C251" s="2">
        <v>5.0</v>
      </c>
      <c r="D251" s="2" t="s">
        <v>540</v>
      </c>
      <c r="E251" s="2" t="s">
        <v>2206</v>
      </c>
      <c r="H251" s="2">
        <v>2.0</v>
      </c>
      <c r="I251" s="2">
        <v>0.0</v>
      </c>
      <c r="K251" s="8" t="str">
        <f t="shared" si="1"/>
        <v>CALL InsertOrUpdateAtributosProductos ('3533','156','5','LITROS','4 litros','2','0');</v>
      </c>
    </row>
    <row r="252">
      <c r="A252" s="2">
        <v>3534.0</v>
      </c>
      <c r="B252" s="2">
        <v>156.0</v>
      </c>
      <c r="C252" s="2">
        <v>5.0</v>
      </c>
      <c r="D252" s="2" t="s">
        <v>540</v>
      </c>
      <c r="E252" s="2" t="s">
        <v>2207</v>
      </c>
      <c r="H252" s="2">
        <v>3.0</v>
      </c>
      <c r="I252" s="2">
        <v>0.0</v>
      </c>
      <c r="K252" s="8" t="str">
        <f t="shared" si="1"/>
        <v>CALL InsertOrUpdateAtributosProductos ('3534','156','5','LITROS','10 litros','3','0');</v>
      </c>
    </row>
    <row r="253">
      <c r="A253" s="2">
        <v>3535.0</v>
      </c>
      <c r="B253" s="2">
        <v>157.0</v>
      </c>
      <c r="C253" s="2">
        <v>8.0</v>
      </c>
      <c r="D253" s="2" t="s">
        <v>581</v>
      </c>
      <c r="E253" s="2" t="s">
        <v>2246</v>
      </c>
      <c r="H253" s="2">
        <v>1.0</v>
      </c>
      <c r="I253" s="2">
        <v>0.0</v>
      </c>
      <c r="K253" s="8" t="str">
        <f t="shared" si="1"/>
        <v>CALL InsertOrUpdateAtributosProductos ('3535','157','8','COLOR','Natural','1','0');</v>
      </c>
    </row>
    <row r="254">
      <c r="A254" s="2">
        <v>3536.0</v>
      </c>
      <c r="B254" s="2">
        <v>157.0</v>
      </c>
      <c r="C254" s="2">
        <v>8.0</v>
      </c>
      <c r="D254" s="2" t="s">
        <v>581</v>
      </c>
      <c r="E254" s="2" t="s">
        <v>2244</v>
      </c>
      <c r="H254" s="2">
        <v>2.0</v>
      </c>
      <c r="I254" s="2">
        <v>0.0</v>
      </c>
      <c r="K254" s="8" t="str">
        <f t="shared" si="1"/>
        <v>CALL InsertOrUpdateAtributosProductos ('3536','157','8','COLOR','Cedro','2','0');</v>
      </c>
    </row>
    <row r="255">
      <c r="A255" s="2">
        <v>3537.0</v>
      </c>
      <c r="B255" s="2">
        <v>157.0</v>
      </c>
      <c r="C255" s="2">
        <v>8.0</v>
      </c>
      <c r="D255" s="2" t="s">
        <v>581</v>
      </c>
      <c r="E255" s="2" t="s">
        <v>2245</v>
      </c>
      <c r="H255" s="2">
        <v>3.0</v>
      </c>
      <c r="I255" s="2">
        <v>0.0</v>
      </c>
      <c r="K255" s="8" t="str">
        <f t="shared" si="1"/>
        <v>CALL InsertOrUpdateAtributosProductos ('3537','157','8','COLOR','Caoba','3','0');</v>
      </c>
    </row>
    <row r="256">
      <c r="A256" s="2">
        <v>3538.0</v>
      </c>
      <c r="B256" s="2">
        <v>157.0</v>
      </c>
      <c r="C256" s="2">
        <v>8.0</v>
      </c>
      <c r="D256" s="2" t="s">
        <v>581</v>
      </c>
      <c r="E256" s="2" t="s">
        <v>2247</v>
      </c>
      <c r="H256" s="2">
        <v>4.0</v>
      </c>
      <c r="I256" s="2">
        <v>0.0</v>
      </c>
      <c r="K256" s="8" t="str">
        <f t="shared" si="1"/>
        <v>CALL InsertOrUpdateAtributosProductos ('3538','157','8','COLOR','Nogal','4','0');</v>
      </c>
    </row>
    <row r="257">
      <c r="A257" s="2">
        <v>3539.0</v>
      </c>
      <c r="B257" s="2">
        <v>157.0</v>
      </c>
      <c r="C257" s="2">
        <v>8.0</v>
      </c>
      <c r="D257" s="2" t="s">
        <v>581</v>
      </c>
      <c r="E257" s="2" t="s">
        <v>2252</v>
      </c>
      <c r="H257" s="2">
        <v>5.0</v>
      </c>
      <c r="I257" s="2">
        <v>0.0</v>
      </c>
      <c r="K257" s="8" t="str">
        <f t="shared" si="1"/>
        <v>CALL InsertOrUpdateAtributosProductos ('3539','157','8','COLOR','Cristal','5','0');</v>
      </c>
    </row>
    <row r="258">
      <c r="A258" s="2">
        <v>3540.0</v>
      </c>
      <c r="B258" s="2">
        <v>157.0</v>
      </c>
      <c r="C258" s="2">
        <v>8.0</v>
      </c>
      <c r="D258" s="2" t="s">
        <v>581</v>
      </c>
      <c r="E258" s="2" t="s">
        <v>2253</v>
      </c>
      <c r="H258" s="2">
        <v>6.0</v>
      </c>
      <c r="I258" s="2">
        <v>0.0</v>
      </c>
      <c r="K258" s="8" t="str">
        <f t="shared" si="1"/>
        <v>CALL InsertOrUpdateAtributosProductos ('3540','157','8','COLOR','Roble','6','0');</v>
      </c>
    </row>
    <row r="259">
      <c r="A259" s="2">
        <v>3541.0</v>
      </c>
      <c r="B259" s="2">
        <v>157.0</v>
      </c>
      <c r="C259" s="2">
        <v>5.0</v>
      </c>
      <c r="D259" s="2" t="s">
        <v>540</v>
      </c>
      <c r="E259" s="2" t="s">
        <v>2205</v>
      </c>
      <c r="H259" s="2">
        <v>1.0</v>
      </c>
      <c r="I259" s="2">
        <v>0.0</v>
      </c>
      <c r="K259" s="8" t="str">
        <f t="shared" si="1"/>
        <v>CALL InsertOrUpdateAtributosProductos ('3541','157','5','LITROS','1 litro','1','0');</v>
      </c>
    </row>
    <row r="260">
      <c r="A260" s="2">
        <v>3542.0</v>
      </c>
      <c r="B260" s="2">
        <v>157.0</v>
      </c>
      <c r="C260" s="2">
        <v>5.0</v>
      </c>
      <c r="D260" s="2" t="s">
        <v>540</v>
      </c>
      <c r="E260" s="2" t="s">
        <v>2206</v>
      </c>
      <c r="H260" s="2">
        <v>2.0</v>
      </c>
      <c r="I260" s="2">
        <v>0.0</v>
      </c>
      <c r="K260" s="8" t="str">
        <f t="shared" si="1"/>
        <v>CALL InsertOrUpdateAtributosProductos ('3542','157','5','LITROS','4 litros','2','0');</v>
      </c>
    </row>
    <row r="261">
      <c r="A261" s="2">
        <v>3543.0</v>
      </c>
      <c r="B261" s="2">
        <v>157.0</v>
      </c>
      <c r="C261" s="2">
        <v>5.0</v>
      </c>
      <c r="D261" s="2" t="s">
        <v>540</v>
      </c>
      <c r="E261" s="2" t="s">
        <v>2207</v>
      </c>
      <c r="H261" s="2">
        <v>3.0</v>
      </c>
      <c r="I261" s="2">
        <v>0.0</v>
      </c>
      <c r="K261" s="8" t="str">
        <f t="shared" si="1"/>
        <v>CALL InsertOrUpdateAtributosProductos ('3543','157','5','LITROS','10 litros','3','0');</v>
      </c>
    </row>
    <row r="262">
      <c r="A262" s="2">
        <v>3544.0</v>
      </c>
      <c r="B262" s="2">
        <v>157.0</v>
      </c>
      <c r="C262" s="2">
        <v>5.0</v>
      </c>
      <c r="D262" s="2" t="s">
        <v>540</v>
      </c>
      <c r="E262" s="2" t="s">
        <v>2208</v>
      </c>
      <c r="H262" s="2">
        <v>4.0</v>
      </c>
      <c r="I262" s="2">
        <v>0.0</v>
      </c>
      <c r="K262" s="8" t="str">
        <f t="shared" si="1"/>
        <v>CALL InsertOrUpdateAtributosProductos ('3544','157','5','LITROS','20 litros','4','0');</v>
      </c>
    </row>
    <row r="263">
      <c r="A263" s="2">
        <v>3545.0</v>
      </c>
      <c r="B263" s="2">
        <v>158.0</v>
      </c>
      <c r="C263" s="2">
        <v>9.0</v>
      </c>
      <c r="D263" s="2" t="s">
        <v>617</v>
      </c>
      <c r="E263" s="2" t="s">
        <v>2218</v>
      </c>
      <c r="H263" s="2">
        <v>1.0</v>
      </c>
      <c r="I263" s="2">
        <v>0.0</v>
      </c>
      <c r="K263" s="8" t="str">
        <f t="shared" si="1"/>
        <v>CALL InsertOrUpdateAtributosProductos ('3545','158','9','TERMINACION','Brillante','1','0');</v>
      </c>
    </row>
    <row r="264">
      <c r="A264" s="2">
        <v>3546.0</v>
      </c>
      <c r="B264" s="2">
        <v>158.0</v>
      </c>
      <c r="C264" s="2">
        <v>9.0</v>
      </c>
      <c r="D264" s="2" t="s">
        <v>617</v>
      </c>
      <c r="E264" s="2" t="s">
        <v>2219</v>
      </c>
      <c r="H264" s="2">
        <v>2.0</v>
      </c>
      <c r="I264" s="2">
        <v>0.0</v>
      </c>
      <c r="K264" s="8" t="str">
        <f t="shared" si="1"/>
        <v>CALL InsertOrUpdateAtributosProductos ('3546','158','9','TERMINACION','Satinado','2','0');</v>
      </c>
    </row>
    <row r="265">
      <c r="A265" s="2">
        <v>3547.0</v>
      </c>
      <c r="B265" s="2">
        <v>158.0</v>
      </c>
      <c r="C265" s="2">
        <v>5.0</v>
      </c>
      <c r="D265" s="2" t="s">
        <v>540</v>
      </c>
      <c r="E265" s="2" t="s">
        <v>2254</v>
      </c>
      <c r="H265" s="2">
        <v>1.0</v>
      </c>
      <c r="I265" s="2">
        <v>0.0</v>
      </c>
      <c r="K265" s="8" t="str">
        <f t="shared" si="1"/>
        <v>CALL InsertOrUpdateAtributosProductos ('3547','158','5','LITROS','0,5 litros','1','0');</v>
      </c>
    </row>
    <row r="266">
      <c r="A266" s="2">
        <v>3548.0</v>
      </c>
      <c r="B266" s="2">
        <v>158.0</v>
      </c>
      <c r="C266" s="2">
        <v>5.0</v>
      </c>
      <c r="D266" s="2" t="s">
        <v>540</v>
      </c>
      <c r="E266" s="2" t="s">
        <v>2205</v>
      </c>
      <c r="H266" s="2">
        <v>2.0</v>
      </c>
      <c r="I266" s="2">
        <v>0.0</v>
      </c>
      <c r="K266" s="8" t="str">
        <f t="shared" si="1"/>
        <v>CALL InsertOrUpdateAtributosProductos ('3548','158','5','LITROS','1 litro','2','0');</v>
      </c>
    </row>
    <row r="267">
      <c r="A267" s="2">
        <v>3549.0</v>
      </c>
      <c r="B267" s="2">
        <v>158.0</v>
      </c>
      <c r="C267" s="2">
        <v>5.0</v>
      </c>
      <c r="D267" s="2" t="s">
        <v>540</v>
      </c>
      <c r="E267" s="2" t="s">
        <v>2206</v>
      </c>
      <c r="H267" s="2">
        <v>3.0</v>
      </c>
      <c r="I267" s="2">
        <v>0.0</v>
      </c>
      <c r="K267" s="8" t="str">
        <f t="shared" si="1"/>
        <v>CALL InsertOrUpdateAtributosProductos ('3549','158','5','LITROS','4 litros','3','0');</v>
      </c>
    </row>
    <row r="268">
      <c r="A268" s="2">
        <v>3550.0</v>
      </c>
      <c r="B268" s="2">
        <v>158.0</v>
      </c>
      <c r="C268" s="2">
        <v>5.0</v>
      </c>
      <c r="D268" s="2" t="s">
        <v>540</v>
      </c>
      <c r="E268" s="2" t="s">
        <v>2208</v>
      </c>
      <c r="H268" s="2">
        <v>4.0</v>
      </c>
      <c r="I268" s="2">
        <v>0.0</v>
      </c>
      <c r="K268" s="8" t="str">
        <f t="shared" si="1"/>
        <v>CALL InsertOrUpdateAtributosProductos ('3550','158','5','LITROS','20 litros','4','0');</v>
      </c>
    </row>
    <row r="269">
      <c r="A269" s="2">
        <v>3551.0</v>
      </c>
      <c r="B269" s="2">
        <v>159.0</v>
      </c>
      <c r="C269" s="2">
        <v>5.0</v>
      </c>
      <c r="D269" s="2" t="s">
        <v>540</v>
      </c>
      <c r="E269" s="2" t="s">
        <v>2254</v>
      </c>
      <c r="H269" s="2">
        <v>1.0</v>
      </c>
      <c r="I269" s="2">
        <v>0.0</v>
      </c>
      <c r="K269" s="8" t="str">
        <f t="shared" si="1"/>
        <v>CALL InsertOrUpdateAtributosProductos ('3551','159','5','LITROS','0,5 litros','1','0');</v>
      </c>
    </row>
    <row r="270">
      <c r="A270" s="2">
        <v>3552.0</v>
      </c>
      <c r="B270" s="2">
        <v>159.0</v>
      </c>
      <c r="C270" s="2">
        <v>5.0</v>
      </c>
      <c r="D270" s="2" t="s">
        <v>540</v>
      </c>
      <c r="E270" s="2" t="s">
        <v>2205</v>
      </c>
      <c r="H270" s="2">
        <v>2.0</v>
      </c>
      <c r="I270" s="2">
        <v>0.0</v>
      </c>
      <c r="K270" s="8" t="str">
        <f t="shared" si="1"/>
        <v>CALL InsertOrUpdateAtributosProductos ('3552','159','5','LITROS','1 litro','2','0');</v>
      </c>
    </row>
    <row r="271">
      <c r="A271" s="2">
        <v>3553.0</v>
      </c>
      <c r="B271" s="2">
        <v>159.0</v>
      </c>
      <c r="C271" s="2">
        <v>5.0</v>
      </c>
      <c r="D271" s="2" t="s">
        <v>540</v>
      </c>
      <c r="E271" s="2" t="s">
        <v>2206</v>
      </c>
      <c r="H271" s="2">
        <v>3.0</v>
      </c>
      <c r="I271" s="2">
        <v>0.0</v>
      </c>
      <c r="K271" s="8" t="str">
        <f t="shared" si="1"/>
        <v>CALL InsertOrUpdateAtributosProductos ('3553','159','5','LITROS','4 litros','3','0');</v>
      </c>
    </row>
    <row r="272">
      <c r="A272" s="2">
        <v>3554.0</v>
      </c>
      <c r="B272" s="2">
        <v>159.0</v>
      </c>
      <c r="C272" s="2">
        <v>5.0</v>
      </c>
      <c r="D272" s="2" t="s">
        <v>540</v>
      </c>
      <c r="E272" s="2" t="s">
        <v>2208</v>
      </c>
      <c r="H272" s="2">
        <v>4.0</v>
      </c>
      <c r="I272" s="2">
        <v>0.0</v>
      </c>
      <c r="K272" s="8" t="str">
        <f t="shared" si="1"/>
        <v>CALL InsertOrUpdateAtributosProductos ('3554','159','5','LITROS','20 litros','4','0');</v>
      </c>
    </row>
    <row r="273">
      <c r="A273" s="2">
        <v>3555.0</v>
      </c>
      <c r="B273" s="2">
        <v>160.0</v>
      </c>
      <c r="C273" s="2">
        <v>9.0</v>
      </c>
      <c r="D273" s="2" t="s">
        <v>617</v>
      </c>
      <c r="E273" s="2" t="s">
        <v>2218</v>
      </c>
      <c r="H273" s="2">
        <v>1.0</v>
      </c>
      <c r="I273" s="2">
        <v>0.0</v>
      </c>
      <c r="K273" s="8" t="str">
        <f t="shared" si="1"/>
        <v>CALL InsertOrUpdateAtributosProductos ('3555','160','9','TERMINACION','Brillante','1','0');</v>
      </c>
    </row>
    <row r="274">
      <c r="A274" s="2">
        <v>3556.0</v>
      </c>
      <c r="B274" s="2">
        <v>160.0</v>
      </c>
      <c r="C274" s="2">
        <v>9.0</v>
      </c>
      <c r="D274" s="2" t="s">
        <v>617</v>
      </c>
      <c r="E274" s="2" t="s">
        <v>2219</v>
      </c>
      <c r="H274" s="2">
        <v>2.0</v>
      </c>
      <c r="I274" s="2">
        <v>0.0</v>
      </c>
      <c r="K274" s="8" t="str">
        <f t="shared" si="1"/>
        <v>CALL InsertOrUpdateAtributosProductos ('3556','160','9','TERMINACION','Satinado','2','0');</v>
      </c>
    </row>
    <row r="275">
      <c r="A275" s="2">
        <v>3557.0</v>
      </c>
      <c r="B275" s="2">
        <v>160.0</v>
      </c>
      <c r="C275" s="2">
        <v>5.0</v>
      </c>
      <c r="D275" s="2" t="s">
        <v>540</v>
      </c>
      <c r="E275" s="2" t="s">
        <v>2254</v>
      </c>
      <c r="H275" s="2">
        <v>1.0</v>
      </c>
      <c r="I275" s="2">
        <v>0.0</v>
      </c>
      <c r="K275" s="8" t="str">
        <f t="shared" si="1"/>
        <v>CALL InsertOrUpdateAtributosProductos ('3557','160','5','LITROS','0,5 litros','1','0');</v>
      </c>
    </row>
    <row r="276">
      <c r="A276" s="2">
        <v>3558.0</v>
      </c>
      <c r="B276" s="2">
        <v>160.0</v>
      </c>
      <c r="C276" s="2">
        <v>5.0</v>
      </c>
      <c r="D276" s="2" t="s">
        <v>540</v>
      </c>
      <c r="E276" s="2" t="s">
        <v>2205</v>
      </c>
      <c r="H276" s="2">
        <v>2.0</v>
      </c>
      <c r="I276" s="2">
        <v>0.0</v>
      </c>
      <c r="K276" s="8" t="str">
        <f t="shared" si="1"/>
        <v>CALL InsertOrUpdateAtributosProductos ('3558','160','5','LITROS','1 litro','2','0');</v>
      </c>
    </row>
    <row r="277">
      <c r="A277" s="2">
        <v>3559.0</v>
      </c>
      <c r="B277" s="2">
        <v>160.0</v>
      </c>
      <c r="C277" s="2">
        <v>5.0</v>
      </c>
      <c r="D277" s="2" t="s">
        <v>540</v>
      </c>
      <c r="E277" s="2" t="s">
        <v>2206</v>
      </c>
      <c r="H277" s="2">
        <v>3.0</v>
      </c>
      <c r="I277" s="2">
        <v>0.0</v>
      </c>
      <c r="K277" s="8" t="str">
        <f t="shared" si="1"/>
        <v>CALL InsertOrUpdateAtributosProductos ('3559','160','5','LITROS','4 litros','3','0');</v>
      </c>
    </row>
    <row r="278">
      <c r="A278" s="2">
        <v>3560.0</v>
      </c>
      <c r="B278" s="2">
        <v>162.0</v>
      </c>
      <c r="C278" s="2">
        <v>5.0</v>
      </c>
      <c r="D278" s="2" t="s">
        <v>540</v>
      </c>
      <c r="E278" s="2" t="s">
        <v>2255</v>
      </c>
      <c r="H278" s="2">
        <v>1.0</v>
      </c>
      <c r="I278" s="2">
        <v>0.0</v>
      </c>
      <c r="K278" s="8" t="str">
        <f t="shared" si="1"/>
        <v>CALL InsertOrUpdateAtributosProductos ('3560','162','5','LITROS','100 ml','1','0');</v>
      </c>
    </row>
    <row r="279">
      <c r="A279" s="2">
        <v>3561.0</v>
      </c>
      <c r="B279" s="2">
        <v>162.0</v>
      </c>
      <c r="C279" s="2">
        <v>5.0</v>
      </c>
      <c r="D279" s="2" t="s">
        <v>540</v>
      </c>
      <c r="E279" s="2" t="s">
        <v>2214</v>
      </c>
      <c r="H279" s="2">
        <v>2.0</v>
      </c>
      <c r="I279" s="2">
        <v>0.0</v>
      </c>
      <c r="K279" s="8" t="str">
        <f t="shared" si="1"/>
        <v>CALL InsertOrUpdateAtributosProductos ('3561','162','5','LITROS','500 ml','2','0');</v>
      </c>
    </row>
    <row r="280">
      <c r="A280" s="2">
        <v>3562.0</v>
      </c>
      <c r="B280" s="2">
        <v>163.0</v>
      </c>
      <c r="C280" s="2">
        <v>5.0</v>
      </c>
      <c r="D280" s="2" t="s">
        <v>540</v>
      </c>
      <c r="E280" s="2" t="s">
        <v>2205</v>
      </c>
      <c r="H280" s="2">
        <v>1.0</v>
      </c>
      <c r="I280" s="2">
        <v>0.0</v>
      </c>
      <c r="K280" s="8" t="str">
        <f t="shared" si="1"/>
        <v>CALL InsertOrUpdateAtributosProductos ('3562','163','5','LITROS','1 litro','1','0');</v>
      </c>
    </row>
    <row r="281">
      <c r="A281" s="2">
        <v>3563.0</v>
      </c>
      <c r="B281" s="2">
        <v>163.0</v>
      </c>
      <c r="C281" s="2">
        <v>5.0</v>
      </c>
      <c r="D281" s="2" t="s">
        <v>540</v>
      </c>
      <c r="E281" s="2" t="s">
        <v>2206</v>
      </c>
      <c r="H281" s="2">
        <v>2.0</v>
      </c>
      <c r="I281" s="2">
        <v>0.0</v>
      </c>
      <c r="K281" s="8" t="str">
        <f t="shared" si="1"/>
        <v>CALL InsertOrUpdateAtributosProductos ('3563','163','5','LITROS','4 litros','2','0');</v>
      </c>
    </row>
    <row r="282">
      <c r="A282" s="2">
        <v>3564.0</v>
      </c>
      <c r="B282" s="2">
        <v>163.0</v>
      </c>
      <c r="C282" s="2">
        <v>5.0</v>
      </c>
      <c r="D282" s="2" t="s">
        <v>540</v>
      </c>
      <c r="E282" s="2" t="s">
        <v>2197</v>
      </c>
      <c r="H282" s="2">
        <v>3.0</v>
      </c>
      <c r="I282" s="2">
        <v>0.0</v>
      </c>
      <c r="K282" s="8" t="str">
        <f t="shared" si="1"/>
        <v>CALL InsertOrUpdateAtributosProductos ('3564','163','5','LITROS','18 litros','3','0');</v>
      </c>
    </row>
    <row r="283">
      <c r="A283" s="2">
        <v>3565.0</v>
      </c>
      <c r="B283" s="2">
        <v>165.0</v>
      </c>
      <c r="C283" s="2">
        <v>8.0</v>
      </c>
      <c r="D283" s="2" t="s">
        <v>581</v>
      </c>
      <c r="E283" s="2" t="s">
        <v>2256</v>
      </c>
      <c r="H283" s="2">
        <v>1.0</v>
      </c>
      <c r="I283" s="2">
        <v>0.0</v>
      </c>
      <c r="K283" s="8" t="str">
        <f t="shared" si="1"/>
        <v>CALL InsertOrUpdateAtributosProductos ('3565','165','8','COLOR','Algarrobo','1','0');</v>
      </c>
    </row>
    <row r="284">
      <c r="A284" s="2">
        <v>3566.0</v>
      </c>
      <c r="B284" s="2">
        <v>165.0</v>
      </c>
      <c r="C284" s="2">
        <v>8.0</v>
      </c>
      <c r="D284" s="2" t="s">
        <v>581</v>
      </c>
      <c r="E284" s="2" t="s">
        <v>2245</v>
      </c>
      <c r="H284" s="2">
        <v>2.0</v>
      </c>
      <c r="I284" s="2">
        <v>0.0</v>
      </c>
      <c r="K284" s="8" t="str">
        <f t="shared" si="1"/>
        <v>CALL InsertOrUpdateAtributosProductos ('3566','165','8','COLOR','Caoba','2','0');</v>
      </c>
    </row>
    <row r="285">
      <c r="A285" s="2">
        <v>3567.0</v>
      </c>
      <c r="B285" s="2">
        <v>165.0</v>
      </c>
      <c r="C285" s="2">
        <v>8.0</v>
      </c>
      <c r="D285" s="2" t="s">
        <v>581</v>
      </c>
      <c r="E285" s="2" t="s">
        <v>2244</v>
      </c>
      <c r="H285" s="2">
        <v>3.0</v>
      </c>
      <c r="I285" s="2">
        <v>0.0</v>
      </c>
      <c r="K285" s="8" t="str">
        <f t="shared" si="1"/>
        <v>CALL InsertOrUpdateAtributosProductos ('3567','165','8','COLOR','Cedro','3','0');</v>
      </c>
    </row>
    <row r="286">
      <c r="A286" s="2">
        <v>3568.0</v>
      </c>
      <c r="B286" s="2">
        <v>165.0</v>
      </c>
      <c r="C286" s="2">
        <v>8.0</v>
      </c>
      <c r="D286" s="2" t="s">
        <v>581</v>
      </c>
      <c r="E286" s="2" t="s">
        <v>2247</v>
      </c>
      <c r="H286" s="2">
        <v>4.0</v>
      </c>
      <c r="I286" s="2">
        <v>0.0</v>
      </c>
      <c r="K286" s="8" t="str">
        <f t="shared" si="1"/>
        <v>CALL InsertOrUpdateAtributosProductos ('3568','165','8','COLOR','Nogal','4','0');</v>
      </c>
    </row>
    <row r="287">
      <c r="A287" s="2">
        <v>3569.0</v>
      </c>
      <c r="B287" s="2">
        <v>165.0</v>
      </c>
      <c r="C287" s="2">
        <v>8.0</v>
      </c>
      <c r="D287" s="2" t="s">
        <v>581</v>
      </c>
      <c r="E287" s="2" t="s">
        <v>2257</v>
      </c>
      <c r="H287" s="2">
        <v>5.0</v>
      </c>
      <c r="I287" s="2">
        <v>0.0</v>
      </c>
      <c r="K287" s="8" t="str">
        <f t="shared" si="1"/>
        <v>CALL InsertOrUpdateAtributosProductos ('3569','165','8','COLOR','Petiribi','5','0');</v>
      </c>
    </row>
    <row r="288">
      <c r="A288" s="2">
        <v>3570.0</v>
      </c>
      <c r="B288" s="2">
        <v>165.0</v>
      </c>
      <c r="C288" s="2">
        <v>8.0</v>
      </c>
      <c r="D288" s="2" t="s">
        <v>581</v>
      </c>
      <c r="E288" s="2" t="s">
        <v>2249</v>
      </c>
      <c r="H288" s="2">
        <v>6.0</v>
      </c>
      <c r="I288" s="2">
        <v>0.0</v>
      </c>
      <c r="K288" s="8" t="str">
        <f t="shared" si="1"/>
        <v>CALL InsertOrUpdateAtributosProductos ('3570','165','8','COLOR','Roble claro','6','0');</v>
      </c>
    </row>
    <row r="289">
      <c r="A289" s="2">
        <v>3571.0</v>
      </c>
      <c r="B289" s="2">
        <v>165.0</v>
      </c>
      <c r="C289" s="2">
        <v>8.0</v>
      </c>
      <c r="D289" s="2" t="s">
        <v>581</v>
      </c>
      <c r="E289" s="2" t="s">
        <v>2250</v>
      </c>
      <c r="H289" s="2">
        <v>7.0</v>
      </c>
      <c r="I289" s="2">
        <v>0.0</v>
      </c>
      <c r="K289" s="8" t="str">
        <f t="shared" si="1"/>
        <v>CALL InsertOrUpdateAtributosProductos ('3571','165','8','COLOR','Roble oscuro','7','0');</v>
      </c>
    </row>
    <row r="290">
      <c r="A290" s="2">
        <v>3572.0</v>
      </c>
      <c r="B290" s="2">
        <v>165.0</v>
      </c>
      <c r="C290" s="2">
        <v>8.0</v>
      </c>
      <c r="D290" s="2" t="s">
        <v>581</v>
      </c>
      <c r="E290" s="2" t="s">
        <v>2258</v>
      </c>
      <c r="H290" s="2">
        <v>8.0</v>
      </c>
      <c r="I290" s="2">
        <v>0.0</v>
      </c>
      <c r="K290" s="8" t="str">
        <f t="shared" si="1"/>
        <v>CALL InsertOrUpdateAtributosProductos ('3572','165','8','COLOR','Viraro','8','0');</v>
      </c>
    </row>
    <row r="291">
      <c r="A291" s="2">
        <v>3573.0</v>
      </c>
      <c r="B291" s="2">
        <v>165.0</v>
      </c>
      <c r="C291" s="2">
        <v>8.0</v>
      </c>
      <c r="D291" s="2" t="s">
        <v>581</v>
      </c>
      <c r="E291" s="2" t="s">
        <v>2259</v>
      </c>
      <c r="H291" s="2">
        <v>9.0</v>
      </c>
      <c r="I291" s="2">
        <v>0.0</v>
      </c>
      <c r="K291" s="8" t="str">
        <f t="shared" si="1"/>
        <v>CALL InsertOrUpdateAtributosProductos ('3573','165','8','COLOR','Wenge','9','0');</v>
      </c>
    </row>
    <row r="292">
      <c r="A292" s="2">
        <v>3574.0</v>
      </c>
      <c r="B292" s="2">
        <v>181.0</v>
      </c>
      <c r="C292" s="2">
        <v>3.0</v>
      </c>
      <c r="D292" s="2" t="s">
        <v>263</v>
      </c>
      <c r="E292" s="2" t="s">
        <v>2260</v>
      </c>
      <c r="H292" s="2">
        <v>1.0</v>
      </c>
      <c r="I292" s="2">
        <v>0.0</v>
      </c>
      <c r="K292" s="8" t="str">
        <f t="shared" si="1"/>
        <v>CALL InsertOrUpdateAtributosProductos ('3574','181','3','MEDIDAS','N° 10','1','0');</v>
      </c>
    </row>
    <row r="293">
      <c r="A293" s="2">
        <v>3575.0</v>
      </c>
      <c r="B293" s="2">
        <v>181.0</v>
      </c>
      <c r="C293" s="2">
        <v>3.0</v>
      </c>
      <c r="D293" s="2" t="s">
        <v>263</v>
      </c>
      <c r="E293" s="2" t="s">
        <v>2261</v>
      </c>
      <c r="H293" s="2">
        <v>2.0</v>
      </c>
      <c r="I293" s="2">
        <v>0.0</v>
      </c>
      <c r="K293" s="8" t="str">
        <f t="shared" si="1"/>
        <v>CALL InsertOrUpdateAtributosProductos ('3575','181','3','MEDIDAS','N° 15','2','0');</v>
      </c>
    </row>
    <row r="294">
      <c r="A294" s="2">
        <v>3576.0</v>
      </c>
      <c r="B294" s="2">
        <v>181.0</v>
      </c>
      <c r="C294" s="2">
        <v>3.0</v>
      </c>
      <c r="D294" s="2" t="s">
        <v>263</v>
      </c>
      <c r="E294" s="2" t="s">
        <v>2262</v>
      </c>
      <c r="H294" s="2">
        <v>3.0</v>
      </c>
      <c r="I294" s="2">
        <v>0.0</v>
      </c>
      <c r="K294" s="8" t="str">
        <f t="shared" si="1"/>
        <v>CALL InsertOrUpdateAtributosProductos ('3576','181','3','MEDIDAS','N° 20','3','0');</v>
      </c>
    </row>
    <row r="295">
      <c r="A295" s="2">
        <v>3577.0</v>
      </c>
      <c r="B295" s="2">
        <v>181.0</v>
      </c>
      <c r="C295" s="2">
        <v>3.0</v>
      </c>
      <c r="D295" s="2" t="s">
        <v>263</v>
      </c>
      <c r="E295" s="2" t="s">
        <v>2263</v>
      </c>
      <c r="H295" s="2">
        <v>4.0</v>
      </c>
      <c r="I295" s="2">
        <v>0.0</v>
      </c>
      <c r="K295" s="8" t="str">
        <f t="shared" si="1"/>
        <v>CALL InsertOrUpdateAtributosProductos ('3577','181','3','MEDIDAS','N° 25','4','0');</v>
      </c>
    </row>
    <row r="296">
      <c r="A296" s="2">
        <v>3578.0</v>
      </c>
      <c r="B296" s="2">
        <v>181.0</v>
      </c>
      <c r="C296" s="2">
        <v>3.0</v>
      </c>
      <c r="D296" s="2" t="s">
        <v>263</v>
      </c>
      <c r="E296" s="2" t="s">
        <v>2264</v>
      </c>
      <c r="H296" s="2">
        <v>5.0</v>
      </c>
      <c r="I296" s="2">
        <v>0.0</v>
      </c>
      <c r="K296" s="8" t="str">
        <f t="shared" si="1"/>
        <v>CALL InsertOrUpdateAtributosProductos ('3578','181','3','MEDIDAS','N° 30','5','0');</v>
      </c>
    </row>
    <row r="297">
      <c r="A297" s="2">
        <v>3579.0</v>
      </c>
      <c r="B297" s="2">
        <v>182.0</v>
      </c>
      <c r="C297" s="2">
        <v>3.0</v>
      </c>
      <c r="D297" s="2" t="s">
        <v>263</v>
      </c>
      <c r="E297" s="2" t="s">
        <v>2265</v>
      </c>
      <c r="H297" s="2">
        <v>1.0</v>
      </c>
      <c r="I297" s="2">
        <v>0.0</v>
      </c>
      <c r="K297" s="8" t="str">
        <f t="shared" si="1"/>
        <v>CALL InsertOrUpdateAtributosProductos ('3579','182','3','MEDIDAS','10 cm','1','0');</v>
      </c>
    </row>
    <row r="298">
      <c r="A298" s="2">
        <v>3580.0</v>
      </c>
      <c r="B298" s="2">
        <v>182.0</v>
      </c>
      <c r="C298" s="2">
        <v>3.0</v>
      </c>
      <c r="D298" s="2" t="s">
        <v>263</v>
      </c>
      <c r="E298" s="2" t="s">
        <v>2266</v>
      </c>
      <c r="H298" s="2">
        <v>2.0</v>
      </c>
      <c r="I298" s="2">
        <v>0.0</v>
      </c>
      <c r="K298" s="8" t="str">
        <f t="shared" si="1"/>
        <v>CALL InsertOrUpdateAtributosProductos ('3580','182','3','MEDIDAS','17 cm','2','0');</v>
      </c>
    </row>
    <row r="299">
      <c r="A299" s="2">
        <v>3581.0</v>
      </c>
      <c r="B299" s="2">
        <v>182.0</v>
      </c>
      <c r="C299" s="2">
        <v>3.0</v>
      </c>
      <c r="D299" s="2" t="s">
        <v>263</v>
      </c>
      <c r="E299" s="2" t="s">
        <v>2267</v>
      </c>
      <c r="H299" s="2">
        <v>3.0</v>
      </c>
      <c r="I299" s="2">
        <v>0.0</v>
      </c>
      <c r="K299" s="8" t="str">
        <f t="shared" si="1"/>
        <v>CALL InsertOrUpdateAtributosProductos ('3581','182','3','MEDIDAS','22 cm','3','0');</v>
      </c>
    </row>
    <row r="300">
      <c r="A300" s="2">
        <v>3582.0</v>
      </c>
      <c r="B300" s="2">
        <v>183.0</v>
      </c>
      <c r="C300" s="2">
        <v>3.0</v>
      </c>
      <c r="D300" s="2" t="s">
        <v>263</v>
      </c>
      <c r="E300" s="2" t="s">
        <v>2268</v>
      </c>
      <c r="H300" s="2">
        <v>1.0</v>
      </c>
      <c r="I300" s="2">
        <v>0.0</v>
      </c>
      <c r="K300" s="8" t="str">
        <f t="shared" si="1"/>
        <v>CALL InsertOrUpdateAtributosProductos ('3582','183','3','MEDIDAS','N° 3','1','0');</v>
      </c>
    </row>
    <row r="301">
      <c r="A301" s="2">
        <v>3583.0</v>
      </c>
      <c r="B301" s="2">
        <v>183.0</v>
      </c>
      <c r="C301" s="2">
        <v>3.0</v>
      </c>
      <c r="D301" s="2" t="s">
        <v>263</v>
      </c>
      <c r="E301" s="2" t="s">
        <v>2269</v>
      </c>
      <c r="H301" s="2">
        <v>2.0</v>
      </c>
      <c r="I301" s="2">
        <v>0.0</v>
      </c>
      <c r="K301" s="8" t="str">
        <f t="shared" si="1"/>
        <v>CALL InsertOrUpdateAtributosProductos ('3583','183','3','MEDIDAS','N° 4','2','0');</v>
      </c>
    </row>
    <row r="302">
      <c r="A302" s="2">
        <v>3584.0</v>
      </c>
      <c r="B302" s="2">
        <v>183.0</v>
      </c>
      <c r="C302" s="2">
        <v>3.0</v>
      </c>
      <c r="D302" s="2" t="s">
        <v>263</v>
      </c>
      <c r="E302" s="2" t="s">
        <v>2270</v>
      </c>
      <c r="H302" s="2">
        <v>3.0</v>
      </c>
      <c r="I302" s="2">
        <v>0.0</v>
      </c>
      <c r="K302" s="8" t="str">
        <f t="shared" si="1"/>
        <v>CALL InsertOrUpdateAtributosProductos ('3584','183','3','MEDIDAS','N° 5','3','0');</v>
      </c>
    </row>
    <row r="303">
      <c r="A303" s="2">
        <v>3585.0</v>
      </c>
      <c r="B303" s="2">
        <v>183.0</v>
      </c>
      <c r="C303" s="2">
        <v>3.0</v>
      </c>
      <c r="D303" s="2" t="s">
        <v>263</v>
      </c>
      <c r="E303" s="2" t="s">
        <v>2271</v>
      </c>
      <c r="H303" s="2">
        <v>4.0</v>
      </c>
      <c r="I303" s="2">
        <v>0.0</v>
      </c>
      <c r="K303" s="8" t="str">
        <f t="shared" si="1"/>
        <v>CALL InsertOrUpdateAtributosProductos ('3585','183','3','MEDIDAS','N° 6','4','0');</v>
      </c>
    </row>
    <row r="304">
      <c r="A304" s="2">
        <v>3586.0</v>
      </c>
      <c r="B304" s="2">
        <v>183.0</v>
      </c>
      <c r="C304" s="2">
        <v>3.0</v>
      </c>
      <c r="D304" s="2" t="s">
        <v>263</v>
      </c>
      <c r="E304" s="2" t="s">
        <v>2272</v>
      </c>
      <c r="H304" s="2">
        <v>5.0</v>
      </c>
      <c r="I304" s="2">
        <v>0.0</v>
      </c>
      <c r="K304" s="8" t="str">
        <f t="shared" si="1"/>
        <v>CALL InsertOrUpdateAtributosProductos ('3586','183','3','MEDIDAS','N° 7','5','0');</v>
      </c>
    </row>
    <row r="305">
      <c r="A305" s="2">
        <v>3587.0</v>
      </c>
      <c r="B305" s="2">
        <v>183.0</v>
      </c>
      <c r="C305" s="2">
        <v>3.0</v>
      </c>
      <c r="D305" s="2" t="s">
        <v>263</v>
      </c>
      <c r="E305" s="2" t="s">
        <v>2273</v>
      </c>
      <c r="H305" s="2">
        <v>6.0</v>
      </c>
      <c r="I305" s="2">
        <v>0.0</v>
      </c>
      <c r="K305" s="8" t="str">
        <f t="shared" si="1"/>
        <v>CALL InsertOrUpdateAtributosProductos ('3587','183','3','MEDIDAS','N° 8','6','0');</v>
      </c>
    </row>
    <row r="306">
      <c r="A306" s="2">
        <v>3588.0</v>
      </c>
      <c r="B306" s="2">
        <v>183.0</v>
      </c>
      <c r="C306" s="2">
        <v>3.0</v>
      </c>
      <c r="D306" s="2" t="s">
        <v>263</v>
      </c>
      <c r="E306" s="2" t="s">
        <v>2274</v>
      </c>
      <c r="H306" s="2">
        <v>7.0</v>
      </c>
      <c r="I306" s="2">
        <v>0.0</v>
      </c>
      <c r="K306" s="8" t="str">
        <f t="shared" si="1"/>
        <v>CALL InsertOrUpdateAtributosProductos ('3588','183','3','MEDIDAS','N° 9','7','0');</v>
      </c>
    </row>
    <row r="307">
      <c r="A307" s="2">
        <v>3589.0</v>
      </c>
      <c r="B307" s="2">
        <v>183.0</v>
      </c>
      <c r="C307" s="2">
        <v>3.0</v>
      </c>
      <c r="D307" s="2" t="s">
        <v>263</v>
      </c>
      <c r="E307" s="2" t="s">
        <v>2260</v>
      </c>
      <c r="H307" s="2">
        <v>8.0</v>
      </c>
      <c r="I307" s="2">
        <v>0.0</v>
      </c>
      <c r="K307" s="8" t="str">
        <f t="shared" si="1"/>
        <v>CALL InsertOrUpdateAtributosProductos ('3589','183','3','MEDIDAS','N° 10','8','0');</v>
      </c>
    </row>
    <row r="308">
      <c r="A308" s="2">
        <v>3590.0</v>
      </c>
      <c r="B308" s="2">
        <v>183.0</v>
      </c>
      <c r="C308" s="2">
        <v>3.0</v>
      </c>
      <c r="D308" s="2" t="s">
        <v>263</v>
      </c>
      <c r="E308" s="2" t="s">
        <v>2275</v>
      </c>
      <c r="H308" s="2">
        <v>9.0</v>
      </c>
      <c r="I308" s="2">
        <v>0.0</v>
      </c>
      <c r="K308" s="8" t="str">
        <f t="shared" si="1"/>
        <v>CALL InsertOrUpdateAtributosProductos ('3590','183','3','MEDIDAS','N° 11','9','0');</v>
      </c>
    </row>
    <row r="309">
      <c r="A309" s="2">
        <v>3591.0</v>
      </c>
      <c r="B309" s="2">
        <v>183.0</v>
      </c>
      <c r="C309" s="2">
        <v>3.0</v>
      </c>
      <c r="D309" s="2" t="s">
        <v>263</v>
      </c>
      <c r="E309" s="2" t="s">
        <v>2276</v>
      </c>
      <c r="H309" s="2">
        <v>10.0</v>
      </c>
      <c r="I309" s="2">
        <v>0.0</v>
      </c>
      <c r="K309" s="8" t="str">
        <f t="shared" si="1"/>
        <v>CALL InsertOrUpdateAtributosProductos ('3591','183','3','MEDIDAS','N° 12','10','0');</v>
      </c>
    </row>
    <row r="310">
      <c r="A310" s="2">
        <v>3592.0</v>
      </c>
      <c r="B310" s="2">
        <v>183.0</v>
      </c>
      <c r="C310" s="2">
        <v>3.0</v>
      </c>
      <c r="D310" s="2" t="s">
        <v>263</v>
      </c>
      <c r="E310" s="2" t="s">
        <v>2262</v>
      </c>
      <c r="H310" s="2">
        <v>11.0</v>
      </c>
      <c r="I310" s="2">
        <v>0.0</v>
      </c>
      <c r="K310" s="8" t="str">
        <f t="shared" si="1"/>
        <v>CALL InsertOrUpdateAtributosProductos ('3592','183','3','MEDIDAS','N° 20','11','0');</v>
      </c>
    </row>
    <row r="311">
      <c r="A311" s="2">
        <v>3593.0</v>
      </c>
      <c r="B311" s="2">
        <v>183.0</v>
      </c>
      <c r="C311" s="2">
        <v>3.0</v>
      </c>
      <c r="D311" s="2" t="s">
        <v>263</v>
      </c>
      <c r="E311" s="2" t="s">
        <v>2277</v>
      </c>
      <c r="H311" s="2">
        <v>12.0</v>
      </c>
      <c r="I311" s="2">
        <v>0.0</v>
      </c>
      <c r="K311" s="8" t="str">
        <f t="shared" si="1"/>
        <v>CALL InsertOrUpdateAtributosProductos ('3593','183','3','MEDIDAS','N° 22','12','0');</v>
      </c>
    </row>
    <row r="312">
      <c r="A312" s="2">
        <v>3594.0</v>
      </c>
      <c r="B312" s="2">
        <v>183.0</v>
      </c>
      <c r="C312" s="2">
        <v>3.0</v>
      </c>
      <c r="D312" s="2" t="s">
        <v>263</v>
      </c>
      <c r="E312" s="2" t="s">
        <v>2278</v>
      </c>
      <c r="H312" s="2">
        <v>13.0</v>
      </c>
      <c r="I312" s="2">
        <v>0.0</v>
      </c>
      <c r="K312" s="8" t="str">
        <f t="shared" si="1"/>
        <v>CALL InsertOrUpdateAtributosProductos ('3594','183','3','MEDIDAS','N° 24','13','0');</v>
      </c>
    </row>
    <row r="313">
      <c r="A313" s="2">
        <v>3595.0</v>
      </c>
      <c r="B313" s="2">
        <v>184.0</v>
      </c>
      <c r="C313" s="2">
        <v>3.0</v>
      </c>
      <c r="D313" s="2" t="s">
        <v>263</v>
      </c>
      <c r="E313" s="2" t="s">
        <v>2279</v>
      </c>
      <c r="H313" s="2">
        <v>1.0</v>
      </c>
      <c r="I313" s="2">
        <v>0.0</v>
      </c>
      <c r="K313" s="8" t="str">
        <f t="shared" si="1"/>
        <v>CALL InsertOrUpdateAtributosProductos ('3595','184','3','MEDIDAS','25 cm','1','0');</v>
      </c>
    </row>
    <row r="314">
      <c r="A314" s="2">
        <v>3596.0</v>
      </c>
      <c r="B314" s="2">
        <v>184.0</v>
      </c>
      <c r="C314" s="2">
        <v>3.0</v>
      </c>
      <c r="D314" s="2" t="s">
        <v>263</v>
      </c>
      <c r="E314" s="2" t="s">
        <v>2149</v>
      </c>
      <c r="H314" s="2">
        <v>2.0</v>
      </c>
      <c r="I314" s="2">
        <v>0.0</v>
      </c>
      <c r="K314" s="8" t="str">
        <f t="shared" si="1"/>
        <v>CALL InsertOrUpdateAtributosProductos ('3596','184','3','MEDIDAS','30 cm','2','0');</v>
      </c>
    </row>
    <row r="315">
      <c r="A315" s="2">
        <v>3597.0</v>
      </c>
      <c r="B315" s="2">
        <v>185.0</v>
      </c>
      <c r="C315" s="2">
        <v>10.0</v>
      </c>
      <c r="D315" s="2" t="s">
        <v>663</v>
      </c>
      <c r="E315" s="2" t="s">
        <v>2280</v>
      </c>
      <c r="H315" s="2">
        <v>1.0</v>
      </c>
      <c r="I315" s="2">
        <v>0.0</v>
      </c>
      <c r="K315" s="8" t="str">
        <f t="shared" si="1"/>
        <v>CALL InsertOrUpdateAtributosProductos ('3597','185','10','TAMAÑO','Chica','1','0');</v>
      </c>
    </row>
    <row r="316">
      <c r="A316" s="2">
        <v>3598.0</v>
      </c>
      <c r="B316" s="2">
        <v>185.0</v>
      </c>
      <c r="C316" s="2">
        <v>10.0</v>
      </c>
      <c r="D316" s="2" t="s">
        <v>663</v>
      </c>
      <c r="E316" s="2" t="s">
        <v>2281</v>
      </c>
      <c r="H316" s="2">
        <v>2.0</v>
      </c>
      <c r="I316" s="2">
        <v>0.0</v>
      </c>
      <c r="K316" s="8" t="str">
        <f t="shared" si="1"/>
        <v>CALL InsertOrUpdateAtributosProductos ('3598','185','10','TAMAÑO','Grande','2','0');</v>
      </c>
    </row>
    <row r="317">
      <c r="A317" s="2">
        <v>3599.0</v>
      </c>
      <c r="B317" s="2">
        <v>187.0</v>
      </c>
      <c r="C317" s="2">
        <v>3.0</v>
      </c>
      <c r="D317" s="2" t="s">
        <v>263</v>
      </c>
      <c r="E317" s="2" t="s">
        <v>2282</v>
      </c>
      <c r="H317" s="2">
        <v>1.0</v>
      </c>
      <c r="I317" s="2">
        <v>0.0</v>
      </c>
      <c r="K317" s="8" t="str">
        <f t="shared" si="1"/>
        <v>CALL InsertOrUpdateAtributosProductos ('3599','187','3','MEDIDAS','4 x 19 cm','1','0');</v>
      </c>
    </row>
    <row r="318">
      <c r="A318" s="2">
        <v>3600.0</v>
      </c>
      <c r="B318" s="2">
        <v>187.0</v>
      </c>
      <c r="C318" s="2">
        <v>3.0</v>
      </c>
      <c r="D318" s="2" t="s">
        <v>263</v>
      </c>
      <c r="E318" s="2" t="s">
        <v>2283</v>
      </c>
      <c r="H318" s="2">
        <v>2.0</v>
      </c>
      <c r="I318" s="2">
        <v>0.0</v>
      </c>
      <c r="K318" s="8" t="str">
        <f t="shared" si="1"/>
        <v>CALL InsertOrUpdateAtributosProductos ('3600','187','3','MEDIDAS','6 x 19 cm','2','0');</v>
      </c>
    </row>
    <row r="319">
      <c r="A319" s="2">
        <v>3601.0</v>
      </c>
      <c r="B319" s="2">
        <v>188.0</v>
      </c>
      <c r="C319" s="2">
        <v>11.0</v>
      </c>
      <c r="D319" s="2" t="s">
        <v>673</v>
      </c>
      <c r="E319" s="2">
        <v>60.0</v>
      </c>
      <c r="H319" s="2">
        <v>1.0</v>
      </c>
      <c r="I319" s="2">
        <v>0.0</v>
      </c>
      <c r="K319" s="8" t="str">
        <f t="shared" si="1"/>
        <v>CALL InsertOrUpdateAtributosProductos ('3601','188','11','GRANO','60','1','0');</v>
      </c>
    </row>
    <row r="320">
      <c r="A320" s="2">
        <v>3602.0</v>
      </c>
      <c r="B320" s="2">
        <v>188.0</v>
      </c>
      <c r="C320" s="2">
        <v>11.0</v>
      </c>
      <c r="D320" s="2" t="s">
        <v>673</v>
      </c>
      <c r="E320" s="2">
        <v>80.0</v>
      </c>
      <c r="H320" s="2">
        <v>2.0</v>
      </c>
      <c r="I320" s="2">
        <v>0.0</v>
      </c>
      <c r="K320" s="8" t="str">
        <f t="shared" si="1"/>
        <v>CALL InsertOrUpdateAtributosProductos ('3602','188','11','GRANO','80','2','0');</v>
      </c>
    </row>
    <row r="321">
      <c r="A321" s="2">
        <v>3603.0</v>
      </c>
      <c r="B321" s="2">
        <v>188.0</v>
      </c>
      <c r="C321" s="2">
        <v>11.0</v>
      </c>
      <c r="D321" s="2" t="s">
        <v>673</v>
      </c>
      <c r="E321" s="2">
        <v>100.0</v>
      </c>
      <c r="H321" s="2">
        <v>3.0</v>
      </c>
      <c r="I321" s="2">
        <v>0.0</v>
      </c>
      <c r="K321" s="8" t="str">
        <f t="shared" si="1"/>
        <v>CALL InsertOrUpdateAtributosProductos ('3603','188','11','GRANO','100','3','0');</v>
      </c>
    </row>
    <row r="322">
      <c r="A322" s="2">
        <v>3604.0</v>
      </c>
      <c r="B322" s="2">
        <v>188.0</v>
      </c>
      <c r="C322" s="2">
        <v>11.0</v>
      </c>
      <c r="D322" s="2" t="s">
        <v>673</v>
      </c>
      <c r="E322" s="2">
        <v>120.0</v>
      </c>
      <c r="H322" s="2">
        <v>4.0</v>
      </c>
      <c r="I322" s="2">
        <v>0.0</v>
      </c>
      <c r="K322" s="8" t="str">
        <f t="shared" si="1"/>
        <v>CALL InsertOrUpdateAtributosProductos ('3604','188','11','GRANO','120','4','0');</v>
      </c>
    </row>
    <row r="323">
      <c r="A323" s="2">
        <v>3605.0</v>
      </c>
      <c r="B323" s="2">
        <v>188.0</v>
      </c>
      <c r="C323" s="2">
        <v>11.0</v>
      </c>
      <c r="D323" s="2" t="s">
        <v>673</v>
      </c>
      <c r="E323" s="2">
        <v>150.0</v>
      </c>
      <c r="H323" s="2">
        <v>5.0</v>
      </c>
      <c r="I323" s="2">
        <v>0.0</v>
      </c>
      <c r="K323" s="8" t="str">
        <f t="shared" si="1"/>
        <v>CALL InsertOrUpdateAtributosProductos ('3605','188','11','GRANO','150','5','0');</v>
      </c>
    </row>
    <row r="324">
      <c r="A324" s="2">
        <v>3606.0</v>
      </c>
      <c r="B324" s="2">
        <v>188.0</v>
      </c>
      <c r="C324" s="2">
        <v>11.0</v>
      </c>
      <c r="D324" s="2" t="s">
        <v>673</v>
      </c>
      <c r="E324" s="2">
        <v>180.0</v>
      </c>
      <c r="H324" s="2">
        <v>6.0</v>
      </c>
      <c r="I324" s="2">
        <v>0.0</v>
      </c>
      <c r="K324" s="8" t="str">
        <f t="shared" si="1"/>
        <v>CALL InsertOrUpdateAtributosProductos ('3606','188','11','GRANO','180','6','0');</v>
      </c>
    </row>
    <row r="325">
      <c r="A325" s="2">
        <v>3607.0</v>
      </c>
      <c r="B325" s="2">
        <v>188.0</v>
      </c>
      <c r="C325" s="2">
        <v>11.0</v>
      </c>
      <c r="D325" s="2" t="s">
        <v>673</v>
      </c>
      <c r="E325" s="2">
        <v>220.0</v>
      </c>
      <c r="H325" s="2">
        <v>7.0</v>
      </c>
      <c r="I325" s="2">
        <v>0.0</v>
      </c>
      <c r="K325" s="8" t="str">
        <f t="shared" si="1"/>
        <v>CALL InsertOrUpdateAtributosProductos ('3607','188','11','GRANO','220','7','0');</v>
      </c>
    </row>
    <row r="326">
      <c r="A326" s="2">
        <v>3608.0</v>
      </c>
      <c r="B326" s="2">
        <v>188.0</v>
      </c>
      <c r="C326" s="2">
        <v>11.0</v>
      </c>
      <c r="D326" s="2" t="s">
        <v>673</v>
      </c>
      <c r="E326" s="2">
        <v>240.0</v>
      </c>
      <c r="H326" s="2">
        <v>8.0</v>
      </c>
      <c r="I326" s="2">
        <v>0.0</v>
      </c>
      <c r="K326" s="8" t="str">
        <f t="shared" si="1"/>
        <v>CALL InsertOrUpdateAtributosProductos ('3608','188','11','GRANO','240','8','0');</v>
      </c>
    </row>
    <row r="327">
      <c r="A327" s="2">
        <v>3609.0</v>
      </c>
      <c r="B327" s="2">
        <v>188.0</v>
      </c>
      <c r="C327" s="2">
        <v>11.0</v>
      </c>
      <c r="D327" s="2" t="s">
        <v>673</v>
      </c>
      <c r="E327" s="2">
        <v>280.0</v>
      </c>
      <c r="H327" s="2">
        <v>9.0</v>
      </c>
      <c r="I327" s="2">
        <v>0.0</v>
      </c>
      <c r="K327" s="8" t="str">
        <f t="shared" si="1"/>
        <v>CALL InsertOrUpdateAtributosProductos ('3609','188','11','GRANO','280','9','0');</v>
      </c>
    </row>
    <row r="328">
      <c r="A328" s="2">
        <v>3610.0</v>
      </c>
      <c r="B328" s="2">
        <v>188.0</v>
      </c>
      <c r="C328" s="2">
        <v>11.0</v>
      </c>
      <c r="D328" s="2" t="s">
        <v>673</v>
      </c>
      <c r="E328" s="2">
        <v>320.0</v>
      </c>
      <c r="H328" s="2">
        <v>10.0</v>
      </c>
      <c r="I328" s="2">
        <v>0.0</v>
      </c>
      <c r="K328" s="8" t="str">
        <f t="shared" si="1"/>
        <v>CALL InsertOrUpdateAtributosProductos ('3610','188','11','GRANO','320','10','0');</v>
      </c>
    </row>
    <row r="329">
      <c r="A329" s="2">
        <v>3611.0</v>
      </c>
      <c r="B329" s="2">
        <v>188.0</v>
      </c>
      <c r="C329" s="2">
        <v>11.0</v>
      </c>
      <c r="D329" s="2" t="s">
        <v>673</v>
      </c>
      <c r="E329" s="2">
        <v>360.0</v>
      </c>
      <c r="H329" s="2">
        <v>11.0</v>
      </c>
      <c r="I329" s="2">
        <v>0.0</v>
      </c>
      <c r="K329" s="8" t="str">
        <f t="shared" si="1"/>
        <v>CALL InsertOrUpdateAtributosProductos ('3611','188','11','GRANO','360','11','0');</v>
      </c>
    </row>
    <row r="330">
      <c r="A330" s="2">
        <v>3612.0</v>
      </c>
      <c r="B330" s="2">
        <v>188.0</v>
      </c>
      <c r="C330" s="2">
        <v>11.0</v>
      </c>
      <c r="D330" s="2" t="s">
        <v>673</v>
      </c>
      <c r="E330" s="2">
        <v>400.0</v>
      </c>
      <c r="H330" s="2">
        <v>12.0</v>
      </c>
      <c r="I330" s="2">
        <v>0.0</v>
      </c>
      <c r="K330" s="8" t="str">
        <f t="shared" si="1"/>
        <v>CALL InsertOrUpdateAtributosProductos ('3612','188','11','GRANO','400','12','0');</v>
      </c>
    </row>
    <row r="331">
      <c r="A331" s="2">
        <v>3613.0</v>
      </c>
      <c r="B331" s="2">
        <v>188.0</v>
      </c>
      <c r="C331" s="2">
        <v>11.0</v>
      </c>
      <c r="D331" s="2" t="s">
        <v>673</v>
      </c>
      <c r="E331" s="2">
        <v>500.0</v>
      </c>
      <c r="H331" s="2">
        <v>13.0</v>
      </c>
      <c r="I331" s="2">
        <v>0.0</v>
      </c>
      <c r="K331" s="8" t="str">
        <f t="shared" si="1"/>
        <v>CALL InsertOrUpdateAtributosProductos ('3613','188','11','GRANO','500','13','0');</v>
      </c>
    </row>
    <row r="332">
      <c r="A332" s="2">
        <v>3614.0</v>
      </c>
      <c r="B332" s="2">
        <v>188.0</v>
      </c>
      <c r="C332" s="2">
        <v>11.0</v>
      </c>
      <c r="D332" s="2" t="s">
        <v>673</v>
      </c>
      <c r="E332" s="2">
        <v>600.0</v>
      </c>
      <c r="H332" s="2">
        <v>14.0</v>
      </c>
      <c r="I332" s="2">
        <v>0.0</v>
      </c>
      <c r="K332" s="8" t="str">
        <f t="shared" si="1"/>
        <v>CALL InsertOrUpdateAtributosProductos ('3614','188','11','GRANO','600','14','0');</v>
      </c>
    </row>
    <row r="333">
      <c r="A333" s="2">
        <v>3615.0</v>
      </c>
      <c r="B333" s="2">
        <v>188.0</v>
      </c>
      <c r="C333" s="2">
        <v>11.0</v>
      </c>
      <c r="D333" s="2" t="s">
        <v>673</v>
      </c>
      <c r="E333" s="2">
        <v>800.0</v>
      </c>
      <c r="H333" s="2">
        <v>15.0</v>
      </c>
      <c r="I333" s="2">
        <v>0.0</v>
      </c>
      <c r="K333" s="8" t="str">
        <f t="shared" si="1"/>
        <v>CALL InsertOrUpdateAtributosProductos ('3615','188','11','GRANO','800','15','0');</v>
      </c>
    </row>
    <row r="334">
      <c r="A334" s="2">
        <v>3616.0</v>
      </c>
      <c r="B334" s="2">
        <v>188.0</v>
      </c>
      <c r="C334" s="2">
        <v>11.0</v>
      </c>
      <c r="D334" s="2" t="s">
        <v>673</v>
      </c>
      <c r="E334" s="2">
        <v>1000.0</v>
      </c>
      <c r="H334" s="2">
        <v>16.0</v>
      </c>
      <c r="I334" s="2">
        <v>0.0</v>
      </c>
      <c r="K334" s="8" t="str">
        <f t="shared" si="1"/>
        <v>CALL InsertOrUpdateAtributosProductos ('3616','188','11','GRANO','1000','16','0');</v>
      </c>
    </row>
    <row r="335">
      <c r="A335" s="2">
        <v>3617.0</v>
      </c>
      <c r="B335" s="2">
        <v>188.0</v>
      </c>
      <c r="C335" s="2">
        <v>11.0</v>
      </c>
      <c r="D335" s="2" t="s">
        <v>673</v>
      </c>
      <c r="E335" s="2">
        <v>1200.0</v>
      </c>
      <c r="H335" s="2">
        <v>17.0</v>
      </c>
      <c r="I335" s="2">
        <v>0.0</v>
      </c>
      <c r="K335" s="8" t="str">
        <f t="shared" si="1"/>
        <v>CALL InsertOrUpdateAtributosProductos ('3617','188','11','GRANO','1200','17','0');</v>
      </c>
    </row>
    <row r="336">
      <c r="A336" s="2">
        <v>3618.0</v>
      </c>
      <c r="B336" s="2">
        <v>189.0</v>
      </c>
      <c r="C336" s="2">
        <v>3.0</v>
      </c>
      <c r="D336" s="2" t="s">
        <v>263</v>
      </c>
      <c r="E336" s="2" t="s">
        <v>2284</v>
      </c>
      <c r="H336" s="2">
        <v>1.0</v>
      </c>
      <c r="I336" s="2">
        <v>0.0</v>
      </c>
      <c r="K336" s="8" t="str">
        <f t="shared" si="1"/>
        <v>CALL InsertOrUpdateAtributosProductos ('3618','189','3','MEDIDAS','4 escalones','1','0');</v>
      </c>
    </row>
    <row r="337">
      <c r="A337" s="2">
        <v>3619.0</v>
      </c>
      <c r="B337" s="2">
        <v>189.0</v>
      </c>
      <c r="C337" s="2">
        <v>3.0</v>
      </c>
      <c r="D337" s="2" t="s">
        <v>263</v>
      </c>
      <c r="E337" s="2" t="s">
        <v>2285</v>
      </c>
      <c r="H337" s="2">
        <v>2.0</v>
      </c>
      <c r="I337" s="2">
        <v>0.0</v>
      </c>
      <c r="K337" s="8" t="str">
        <f t="shared" si="1"/>
        <v>CALL InsertOrUpdateAtributosProductos ('3619','189','3','MEDIDAS','6 escalones','2','0');</v>
      </c>
    </row>
    <row r="338">
      <c r="A338" s="2">
        <v>3620.0</v>
      </c>
      <c r="B338" s="2">
        <v>189.0</v>
      </c>
      <c r="C338" s="2">
        <v>3.0</v>
      </c>
      <c r="D338" s="2" t="s">
        <v>263</v>
      </c>
      <c r="E338" s="2" t="s">
        <v>2286</v>
      </c>
      <c r="H338" s="2">
        <v>3.0</v>
      </c>
      <c r="I338" s="2">
        <v>0.0</v>
      </c>
      <c r="K338" s="8" t="str">
        <f t="shared" si="1"/>
        <v>CALL InsertOrUpdateAtributosProductos ('3620','189','3','MEDIDAS','8 escalones','3','0');</v>
      </c>
    </row>
    <row r="339">
      <c r="A339" s="2">
        <v>3621.0</v>
      </c>
      <c r="B339" s="2">
        <v>189.0</v>
      </c>
      <c r="C339" s="2">
        <v>3.0</v>
      </c>
      <c r="D339" s="2" t="s">
        <v>263</v>
      </c>
      <c r="E339" s="2" t="s">
        <v>2287</v>
      </c>
      <c r="H339" s="2">
        <v>4.0</v>
      </c>
      <c r="I339" s="2">
        <v>0.0</v>
      </c>
      <c r="K339" s="8" t="str">
        <f t="shared" si="1"/>
        <v>CALL InsertOrUpdateAtributosProductos ('3621','189','3','MEDIDAS','10 escalones','4','0');</v>
      </c>
    </row>
    <row r="340">
      <c r="A340" s="2">
        <v>3622.0</v>
      </c>
      <c r="B340" s="2">
        <v>189.0</v>
      </c>
      <c r="C340" s="2">
        <v>3.0</v>
      </c>
      <c r="D340" s="2" t="s">
        <v>263</v>
      </c>
      <c r="E340" s="2" t="s">
        <v>2288</v>
      </c>
      <c r="H340" s="2">
        <v>5.0</v>
      </c>
      <c r="I340" s="2">
        <v>0.0</v>
      </c>
      <c r="K340" s="8" t="str">
        <f t="shared" si="1"/>
        <v>CALL InsertOrUpdateAtributosProductos ('3622','189','3','MEDIDAS','11 escalones','5','0');</v>
      </c>
    </row>
    <row r="341">
      <c r="A341" s="2">
        <v>3623.0</v>
      </c>
      <c r="B341" s="2">
        <v>189.0</v>
      </c>
      <c r="C341" s="2">
        <v>3.0</v>
      </c>
      <c r="D341" s="2" t="s">
        <v>263</v>
      </c>
      <c r="E341" s="2" t="s">
        <v>2289</v>
      </c>
      <c r="H341" s="2">
        <v>6.0</v>
      </c>
      <c r="I341" s="2">
        <v>0.0</v>
      </c>
      <c r="K341" s="8" t="str">
        <f t="shared" si="1"/>
        <v>CALL InsertOrUpdateAtributosProductos ('3623','189','3','MEDIDAS','12 escalones','6','0');</v>
      </c>
    </row>
    <row r="342">
      <c r="A342" s="2">
        <v>3624.0</v>
      </c>
      <c r="B342" s="2">
        <v>192.0</v>
      </c>
      <c r="C342" s="2">
        <v>3.0</v>
      </c>
      <c r="D342" s="2" t="s">
        <v>263</v>
      </c>
      <c r="E342" s="2" t="s">
        <v>2290</v>
      </c>
      <c r="H342" s="2">
        <v>1.0</v>
      </c>
      <c r="I342" s="2">
        <v>0.0</v>
      </c>
      <c r="K342" s="8" t="str">
        <f t="shared" si="1"/>
        <v>CALL InsertOrUpdateAtributosProductos ('3624','192','3','MEDIDAS','18 mm','1','0');</v>
      </c>
    </row>
    <row r="343">
      <c r="A343" s="2">
        <v>3625.0</v>
      </c>
      <c r="B343" s="2">
        <v>192.0</v>
      </c>
      <c r="C343" s="2">
        <v>3.0</v>
      </c>
      <c r="D343" s="2" t="s">
        <v>263</v>
      </c>
      <c r="E343" s="2" t="s">
        <v>2291</v>
      </c>
      <c r="H343" s="2">
        <v>2.0</v>
      </c>
      <c r="I343" s="2">
        <v>0.0</v>
      </c>
      <c r="K343" s="8" t="str">
        <f t="shared" si="1"/>
        <v>CALL InsertOrUpdateAtributosProductos ('3625','192','3','MEDIDAS','24 mm','2','0');</v>
      </c>
    </row>
    <row r="344">
      <c r="A344" s="2">
        <v>3626.0</v>
      </c>
      <c r="B344" s="2">
        <v>192.0</v>
      </c>
      <c r="C344" s="2">
        <v>3.0</v>
      </c>
      <c r="D344" s="2" t="s">
        <v>263</v>
      </c>
      <c r="E344" s="2" t="s">
        <v>2292</v>
      </c>
      <c r="H344" s="2">
        <v>3.0</v>
      </c>
      <c r="I344" s="2">
        <v>0.0</v>
      </c>
      <c r="K344" s="8" t="str">
        <f t="shared" si="1"/>
        <v>CALL InsertOrUpdateAtributosProductos ('3626','192','3','MEDIDAS','36 mm','3','0');</v>
      </c>
    </row>
    <row r="345">
      <c r="A345" s="2">
        <v>3627.0</v>
      </c>
      <c r="B345" s="2">
        <v>192.0</v>
      </c>
      <c r="C345" s="2">
        <v>3.0</v>
      </c>
      <c r="D345" s="2" t="s">
        <v>263</v>
      </c>
      <c r="E345" s="2" t="s">
        <v>2293</v>
      </c>
      <c r="H345" s="2">
        <v>4.0</v>
      </c>
      <c r="I345" s="2">
        <v>0.0</v>
      </c>
      <c r="K345" s="8" t="str">
        <f t="shared" si="1"/>
        <v>CALL InsertOrUpdateAtributosProductos ('3627','192','3','MEDIDAS','48 mm','4','0');</v>
      </c>
    </row>
    <row r="346">
      <c r="A346" s="2">
        <v>3628.0</v>
      </c>
      <c r="B346" s="2">
        <v>195.0</v>
      </c>
      <c r="C346" s="2">
        <v>2.0</v>
      </c>
      <c r="D346" s="2" t="s">
        <v>259</v>
      </c>
      <c r="E346" s="2" t="s">
        <v>2294</v>
      </c>
      <c r="H346" s="2">
        <v>1.0</v>
      </c>
      <c r="I346" s="2">
        <v>0.0</v>
      </c>
      <c r="K346" s="8" t="str">
        <f t="shared" si="1"/>
        <v>CALL InsertOrUpdateAtributosProductos ('3628','195','2','TIPO','Interior','1','0');</v>
      </c>
    </row>
    <row r="347">
      <c r="A347" s="2">
        <v>3629.0</v>
      </c>
      <c r="B347" s="2">
        <v>195.0</v>
      </c>
      <c r="C347" s="2">
        <v>2.0</v>
      </c>
      <c r="D347" s="2" t="s">
        <v>259</v>
      </c>
      <c r="E347" s="2" t="s">
        <v>2295</v>
      </c>
      <c r="H347" s="2">
        <v>2.0</v>
      </c>
      <c r="I347" s="2">
        <v>0.0</v>
      </c>
      <c r="K347" s="8" t="str">
        <f t="shared" si="1"/>
        <v>CALL InsertOrUpdateAtributosProductos ('3629','195','2','TIPO','Exterior','2','0');</v>
      </c>
    </row>
    <row r="348">
      <c r="A348" s="2">
        <v>3630.0</v>
      </c>
      <c r="B348" s="2">
        <v>195.0</v>
      </c>
      <c r="C348" s="2">
        <v>12.0</v>
      </c>
      <c r="D348" s="2" t="s">
        <v>692</v>
      </c>
      <c r="E348" s="2" t="s">
        <v>2296</v>
      </c>
      <c r="H348" s="2">
        <v>1.0</v>
      </c>
      <c r="I348" s="2">
        <v>0.0</v>
      </c>
      <c r="K348" s="8" t="str">
        <f t="shared" si="1"/>
        <v>CALL InsertOrUpdateAtributosProductos ('3630','195','12','PESO','1 kilo','1','0');</v>
      </c>
    </row>
    <row r="349">
      <c r="A349" s="2">
        <v>3631.0</v>
      </c>
      <c r="B349" s="2">
        <v>195.0</v>
      </c>
      <c r="C349" s="2">
        <v>12.0</v>
      </c>
      <c r="D349" s="2" t="s">
        <v>692</v>
      </c>
      <c r="E349" s="2" t="s">
        <v>2297</v>
      </c>
      <c r="H349" s="2">
        <v>2.0</v>
      </c>
      <c r="I349" s="2">
        <v>0.0</v>
      </c>
      <c r="K349" s="8" t="str">
        <f t="shared" si="1"/>
        <v>CALL InsertOrUpdateAtributosProductos ('3631','195','12','PESO','4 kilos','2','0');</v>
      </c>
    </row>
    <row r="350">
      <c r="A350" s="2">
        <v>3632.0</v>
      </c>
      <c r="B350" s="2">
        <v>195.0</v>
      </c>
      <c r="C350" s="2">
        <v>12.0</v>
      </c>
      <c r="D350" s="2" t="s">
        <v>692</v>
      </c>
      <c r="E350" s="2" t="s">
        <v>2298</v>
      </c>
      <c r="H350" s="2">
        <v>3.0</v>
      </c>
      <c r="I350" s="2">
        <v>0.0</v>
      </c>
      <c r="K350" s="8" t="str">
        <f t="shared" si="1"/>
        <v>CALL InsertOrUpdateAtributosProductos ('3632','195','12','PESO','10 kilos','3','0');</v>
      </c>
    </row>
    <row r="351">
      <c r="A351" s="2">
        <v>3633.0</v>
      </c>
      <c r="B351" s="2">
        <v>195.0</v>
      </c>
      <c r="C351" s="2">
        <v>12.0</v>
      </c>
      <c r="D351" s="2" t="s">
        <v>692</v>
      </c>
      <c r="E351" s="2" t="s">
        <v>2299</v>
      </c>
      <c r="H351" s="2">
        <v>4.0</v>
      </c>
      <c r="I351" s="2">
        <v>0.0</v>
      </c>
      <c r="K351" s="8" t="str">
        <f t="shared" si="1"/>
        <v>CALL InsertOrUpdateAtributosProductos ('3633','195','12','PESO','25 kilos','4','0');</v>
      </c>
    </row>
    <row r="352">
      <c r="A352" s="2">
        <v>3634.0</v>
      </c>
      <c r="B352" s="2">
        <v>196.0</v>
      </c>
      <c r="C352" s="2">
        <v>5.0</v>
      </c>
      <c r="D352" s="2" t="s">
        <v>540</v>
      </c>
      <c r="E352" s="2" t="s">
        <v>2205</v>
      </c>
      <c r="H352" s="2">
        <v>1.0</v>
      </c>
      <c r="I352" s="2">
        <v>0.0</v>
      </c>
      <c r="K352" s="8" t="str">
        <f t="shared" si="1"/>
        <v>CALL InsertOrUpdateAtributosProductos ('3634','196','5','LITROS','1 litro','1','0');</v>
      </c>
    </row>
    <row r="353">
      <c r="A353" s="2">
        <v>3635.0</v>
      </c>
      <c r="B353" s="2">
        <v>196.0</v>
      </c>
      <c r="C353" s="2">
        <v>5.0</v>
      </c>
      <c r="D353" s="2" t="s">
        <v>540</v>
      </c>
      <c r="E353" s="2" t="s">
        <v>2206</v>
      </c>
      <c r="H353" s="2">
        <v>2.0</v>
      </c>
      <c r="I353" s="2">
        <v>0.0</v>
      </c>
      <c r="K353" s="8" t="str">
        <f t="shared" si="1"/>
        <v>CALL InsertOrUpdateAtributosProductos ('3635','196','5','LITROS','4 litros','2','0');</v>
      </c>
    </row>
    <row r="354">
      <c r="A354" s="2">
        <v>3636.0</v>
      </c>
      <c r="B354" s="2">
        <v>196.0</v>
      </c>
      <c r="C354" s="2">
        <v>5.0</v>
      </c>
      <c r="D354" s="2" t="s">
        <v>540</v>
      </c>
      <c r="E354" s="2" t="s">
        <v>2207</v>
      </c>
      <c r="H354" s="2">
        <v>3.0</v>
      </c>
      <c r="I354" s="2">
        <v>0.0</v>
      </c>
      <c r="K354" s="8" t="str">
        <f t="shared" si="1"/>
        <v>CALL InsertOrUpdateAtributosProductos ('3636','196','5','LITROS','10 litros','3','0');</v>
      </c>
    </row>
    <row r="355">
      <c r="A355" s="2">
        <v>3637.0</v>
      </c>
      <c r="B355" s="2">
        <v>196.0</v>
      </c>
      <c r="C355" s="2">
        <v>5.0</v>
      </c>
      <c r="D355" s="2" t="s">
        <v>540</v>
      </c>
      <c r="E355" s="2" t="s">
        <v>2208</v>
      </c>
      <c r="H355" s="2">
        <v>4.0</v>
      </c>
      <c r="I355" s="2">
        <v>0.0</v>
      </c>
      <c r="K355" s="8" t="str">
        <f t="shared" si="1"/>
        <v>CALL InsertOrUpdateAtributosProductos ('3637','196','5','LITROS','20 litros','4','0');</v>
      </c>
    </row>
    <row r="356">
      <c r="A356" s="2">
        <v>3638.0</v>
      </c>
      <c r="B356" s="2">
        <v>197.0</v>
      </c>
      <c r="C356" s="2">
        <v>5.0</v>
      </c>
      <c r="D356" s="2" t="s">
        <v>540</v>
      </c>
      <c r="E356" s="2" t="s">
        <v>2205</v>
      </c>
      <c r="H356" s="2">
        <v>1.0</v>
      </c>
      <c r="I356" s="2">
        <v>0.0</v>
      </c>
      <c r="K356" s="8" t="str">
        <f t="shared" si="1"/>
        <v>CALL InsertOrUpdateAtributosProductos ('3638','197','5','LITROS','1 litro','1','0');</v>
      </c>
    </row>
    <row r="357">
      <c r="A357" s="2">
        <v>3639.0</v>
      </c>
      <c r="B357" s="2">
        <v>197.0</v>
      </c>
      <c r="C357" s="2">
        <v>5.0</v>
      </c>
      <c r="D357" s="2" t="s">
        <v>540</v>
      </c>
      <c r="E357" s="2" t="s">
        <v>2206</v>
      </c>
      <c r="H357" s="2">
        <v>2.0</v>
      </c>
      <c r="I357" s="2">
        <v>0.0</v>
      </c>
      <c r="K357" s="8" t="str">
        <f t="shared" si="1"/>
        <v>CALL InsertOrUpdateAtributosProductos ('3639','197','5','LITROS','4 litros','2','0');</v>
      </c>
    </row>
    <row r="358">
      <c r="A358" s="2">
        <v>3640.0</v>
      </c>
      <c r="B358" s="2">
        <v>197.0</v>
      </c>
      <c r="C358" s="2">
        <v>5.0</v>
      </c>
      <c r="D358" s="2" t="s">
        <v>540</v>
      </c>
      <c r="E358" s="2" t="s">
        <v>2197</v>
      </c>
      <c r="H358" s="2">
        <v>3.0</v>
      </c>
      <c r="I358" s="2">
        <v>0.0</v>
      </c>
      <c r="K358" s="8" t="str">
        <f t="shared" si="1"/>
        <v>CALL InsertOrUpdateAtributosProductos ('3640','197','5','LITROS','18 litros','3','0');</v>
      </c>
    </row>
    <row r="359">
      <c r="A359" s="2">
        <v>3641.0</v>
      </c>
      <c r="B359" s="2">
        <v>198.0</v>
      </c>
      <c r="C359" s="2">
        <v>12.0</v>
      </c>
      <c r="D359" s="2" t="s">
        <v>692</v>
      </c>
      <c r="E359" s="2" t="s">
        <v>2300</v>
      </c>
      <c r="H359" s="2">
        <v>1.0</v>
      </c>
      <c r="I359" s="2">
        <v>0.0</v>
      </c>
      <c r="K359" s="8" t="str">
        <f t="shared" si="1"/>
        <v>CALL InsertOrUpdateAtributosProductos ('3641','198','12','PESO','350 gramos','1','0');</v>
      </c>
    </row>
    <row r="360">
      <c r="A360" s="2">
        <v>3642.0</v>
      </c>
      <c r="B360" s="2">
        <v>198.0</v>
      </c>
      <c r="C360" s="2">
        <v>12.0</v>
      </c>
      <c r="D360" s="2" t="s">
        <v>692</v>
      </c>
      <c r="E360" s="2" t="s">
        <v>2296</v>
      </c>
      <c r="H360" s="2">
        <v>2.0</v>
      </c>
      <c r="I360" s="2">
        <v>0.0</v>
      </c>
      <c r="K360" s="8" t="str">
        <f t="shared" si="1"/>
        <v>CALL InsertOrUpdateAtributosProductos ('3642','198','12','PESO','1 kilo','2','0');</v>
      </c>
    </row>
    <row r="361">
      <c r="A361" s="2">
        <v>3643.0</v>
      </c>
      <c r="B361" s="2">
        <v>198.0</v>
      </c>
      <c r="C361" s="2">
        <v>12.0</v>
      </c>
      <c r="D361" s="2" t="s">
        <v>692</v>
      </c>
      <c r="E361" s="2" t="s">
        <v>2301</v>
      </c>
      <c r="H361" s="2">
        <v>3.0</v>
      </c>
      <c r="I361" s="2">
        <v>0.0</v>
      </c>
      <c r="K361" s="8" t="str">
        <f t="shared" si="1"/>
        <v>CALL InsertOrUpdateAtributosProductos ('3643','198','12','PESO','5 kilos','3','0');</v>
      </c>
    </row>
    <row r="362">
      <c r="A362" s="2">
        <v>3644.0</v>
      </c>
      <c r="B362" s="2">
        <v>200.0</v>
      </c>
      <c r="C362" s="2">
        <v>3.0</v>
      </c>
      <c r="D362" s="2" t="s">
        <v>263</v>
      </c>
      <c r="E362" s="2" t="s">
        <v>2302</v>
      </c>
      <c r="H362" s="2">
        <v>1.0</v>
      </c>
      <c r="I362" s="2">
        <v>0.0</v>
      </c>
      <c r="K362" s="8" t="str">
        <f t="shared" si="1"/>
        <v>CALL InsertOrUpdateAtributosProductos ('3644','200','3','MEDIDAS','20 mm','1','0');</v>
      </c>
    </row>
    <row r="363">
      <c r="A363" s="2">
        <v>3645.0</v>
      </c>
      <c r="B363" s="2">
        <v>200.0</v>
      </c>
      <c r="C363" s="2">
        <v>3.0</v>
      </c>
      <c r="D363" s="2" t="s">
        <v>263</v>
      </c>
      <c r="E363" s="2" t="s">
        <v>2303</v>
      </c>
      <c r="H363" s="2">
        <v>2.0</v>
      </c>
      <c r="I363" s="2">
        <v>0.0</v>
      </c>
      <c r="K363" s="8" t="str">
        <f t="shared" si="1"/>
        <v>CALL InsertOrUpdateAtributosProductos ('3645','200','3','MEDIDAS','25 mm','2','0');</v>
      </c>
    </row>
    <row r="364">
      <c r="A364" s="2">
        <v>3646.0</v>
      </c>
      <c r="B364" s="2">
        <v>200.0</v>
      </c>
      <c r="C364" s="2">
        <v>3.0</v>
      </c>
      <c r="D364" s="2" t="s">
        <v>263</v>
      </c>
      <c r="E364" s="2" t="s">
        <v>2304</v>
      </c>
      <c r="H364" s="2">
        <v>3.0</v>
      </c>
      <c r="I364" s="2">
        <v>0.0</v>
      </c>
      <c r="K364" s="8" t="str">
        <f t="shared" si="1"/>
        <v>CALL InsertOrUpdateAtributosProductos ('3646','200','3','MEDIDAS','32 mm','3','0');</v>
      </c>
    </row>
    <row r="365">
      <c r="A365" s="2">
        <v>3647.0</v>
      </c>
      <c r="B365" s="2">
        <v>200.0</v>
      </c>
      <c r="C365" s="2">
        <v>3.0</v>
      </c>
      <c r="D365" s="2" t="s">
        <v>263</v>
      </c>
      <c r="E365" s="2" t="s">
        <v>2305</v>
      </c>
      <c r="H365" s="2">
        <v>4.0</v>
      </c>
      <c r="I365" s="2">
        <v>0.0</v>
      </c>
      <c r="K365" s="8" t="str">
        <f t="shared" si="1"/>
        <v>CALL InsertOrUpdateAtributosProductos ('3647','200','3','MEDIDAS','40 mm','4','0');</v>
      </c>
    </row>
    <row r="366">
      <c r="A366" s="2">
        <v>3648.0</v>
      </c>
      <c r="B366" s="2">
        <v>200.0</v>
      </c>
      <c r="C366" s="2">
        <v>3.0</v>
      </c>
      <c r="D366" s="2" t="s">
        <v>263</v>
      </c>
      <c r="E366" s="2" t="s">
        <v>2306</v>
      </c>
      <c r="H366" s="2">
        <v>5.0</v>
      </c>
      <c r="I366" s="2">
        <v>0.0</v>
      </c>
      <c r="K366" s="8" t="str">
        <f t="shared" si="1"/>
        <v>CALL InsertOrUpdateAtributosProductos ('3648','200','3','MEDIDAS','50 mm','5','0');</v>
      </c>
    </row>
    <row r="367">
      <c r="A367" s="2">
        <v>3649.0</v>
      </c>
      <c r="B367" s="2">
        <v>200.0</v>
      </c>
      <c r="C367" s="2">
        <v>3.0</v>
      </c>
      <c r="D367" s="2" t="s">
        <v>263</v>
      </c>
      <c r="E367" s="2" t="s">
        <v>2307</v>
      </c>
      <c r="H367" s="2">
        <v>6.0</v>
      </c>
      <c r="I367" s="2">
        <v>0.0</v>
      </c>
      <c r="K367" s="8" t="str">
        <f t="shared" si="1"/>
        <v>CALL InsertOrUpdateAtributosProductos ('3649','200','3','MEDIDAS','63 mm','6','0');</v>
      </c>
    </row>
    <row r="368">
      <c r="A368" s="2">
        <v>3650.0</v>
      </c>
      <c r="B368" s="2">
        <v>201.0</v>
      </c>
      <c r="C368" s="2">
        <v>3.0</v>
      </c>
      <c r="D368" s="2" t="s">
        <v>263</v>
      </c>
      <c r="E368" s="2" t="s">
        <v>2302</v>
      </c>
      <c r="H368" s="2">
        <v>1.0</v>
      </c>
      <c r="I368" s="2">
        <v>0.0</v>
      </c>
      <c r="K368" s="8" t="str">
        <f t="shared" si="1"/>
        <v>CALL InsertOrUpdateAtributosProductos ('3650','201','3','MEDIDAS','20 mm','1','0');</v>
      </c>
    </row>
    <row r="369">
      <c r="A369" s="2">
        <v>3651.0</v>
      </c>
      <c r="B369" s="2">
        <v>201.0</v>
      </c>
      <c r="C369" s="2">
        <v>3.0</v>
      </c>
      <c r="D369" s="2" t="s">
        <v>263</v>
      </c>
      <c r="E369" s="2" t="s">
        <v>2303</v>
      </c>
      <c r="H369" s="2">
        <v>2.0</v>
      </c>
      <c r="I369" s="2">
        <v>0.0</v>
      </c>
      <c r="K369" s="8" t="str">
        <f t="shared" si="1"/>
        <v>CALL InsertOrUpdateAtributosProductos ('3651','201','3','MEDIDAS','25 mm','2','0');</v>
      </c>
    </row>
    <row r="370">
      <c r="A370" s="2">
        <v>3652.0</v>
      </c>
      <c r="B370" s="2">
        <v>201.0</v>
      </c>
      <c r="C370" s="2">
        <v>3.0</v>
      </c>
      <c r="D370" s="2" t="s">
        <v>263</v>
      </c>
      <c r="E370" s="2" t="s">
        <v>2304</v>
      </c>
      <c r="H370" s="2">
        <v>3.0</v>
      </c>
      <c r="I370" s="2">
        <v>0.0</v>
      </c>
      <c r="K370" s="8" t="str">
        <f t="shared" si="1"/>
        <v>CALL InsertOrUpdateAtributosProductos ('3652','201','3','MEDIDAS','32 mm','3','0');</v>
      </c>
    </row>
    <row r="371">
      <c r="A371" s="2">
        <v>3653.0</v>
      </c>
      <c r="B371" s="2">
        <v>201.0</v>
      </c>
      <c r="C371" s="2">
        <v>3.0</v>
      </c>
      <c r="D371" s="2" t="s">
        <v>263</v>
      </c>
      <c r="E371" s="2" t="s">
        <v>2305</v>
      </c>
      <c r="H371" s="2">
        <v>4.0</v>
      </c>
      <c r="I371" s="2">
        <v>0.0</v>
      </c>
      <c r="K371" s="8" t="str">
        <f t="shared" si="1"/>
        <v>CALL InsertOrUpdateAtributosProductos ('3653','201','3','MEDIDAS','40 mm','4','0');</v>
      </c>
    </row>
    <row r="372">
      <c r="A372" s="2">
        <v>3654.0</v>
      </c>
      <c r="B372" s="2">
        <v>201.0</v>
      </c>
      <c r="C372" s="2">
        <v>3.0</v>
      </c>
      <c r="D372" s="2" t="s">
        <v>263</v>
      </c>
      <c r="E372" s="2" t="s">
        <v>2306</v>
      </c>
      <c r="H372" s="2">
        <v>5.0</v>
      </c>
      <c r="I372" s="2">
        <v>0.0</v>
      </c>
      <c r="K372" s="8" t="str">
        <f t="shared" si="1"/>
        <v>CALL InsertOrUpdateAtributosProductos ('3654','201','3','MEDIDAS','50 mm','5','0');</v>
      </c>
    </row>
    <row r="373">
      <c r="A373" s="2">
        <v>3655.0</v>
      </c>
      <c r="B373" s="2">
        <v>201.0</v>
      </c>
      <c r="C373" s="2">
        <v>3.0</v>
      </c>
      <c r="D373" s="2" t="s">
        <v>263</v>
      </c>
      <c r="E373" s="2" t="s">
        <v>2307</v>
      </c>
      <c r="H373" s="2">
        <v>6.0</v>
      </c>
      <c r="I373" s="2">
        <v>0.0</v>
      </c>
      <c r="K373" s="8" t="str">
        <f t="shared" si="1"/>
        <v>CALL InsertOrUpdateAtributosProductos ('3655','201','3','MEDIDAS','63 mm','6','0');</v>
      </c>
    </row>
    <row r="374">
      <c r="A374" s="2">
        <v>3656.0</v>
      </c>
      <c r="B374" s="2">
        <v>202.0</v>
      </c>
      <c r="C374" s="2">
        <v>3.0</v>
      </c>
      <c r="D374" s="2" t="s">
        <v>263</v>
      </c>
      <c r="E374" s="2" t="s">
        <v>2308</v>
      </c>
      <c r="H374" s="2">
        <v>1.0</v>
      </c>
      <c r="I374" s="2">
        <v>0.0</v>
      </c>
      <c r="K374" s="8" t="str">
        <f t="shared" si="1"/>
        <v>CALL InsertOrUpdateAtributosProductos ('3656','202','3','MEDIDAS','20 mm x 1/2"','1','0');</v>
      </c>
    </row>
    <row r="375">
      <c r="A375" s="2">
        <v>3657.0</v>
      </c>
      <c r="B375" s="2">
        <v>202.0</v>
      </c>
      <c r="C375" s="2">
        <v>3.0</v>
      </c>
      <c r="D375" s="2" t="s">
        <v>263</v>
      </c>
      <c r="E375" s="2" t="s">
        <v>2309</v>
      </c>
      <c r="H375" s="2">
        <v>2.0</v>
      </c>
      <c r="I375" s="2">
        <v>0.0</v>
      </c>
      <c r="K375" s="8" t="str">
        <f t="shared" si="1"/>
        <v>CALL InsertOrUpdateAtributosProductos ('3657','202','3','MEDIDAS','25 mm x 1/2"','2','0');</v>
      </c>
    </row>
    <row r="376">
      <c r="A376" s="2">
        <v>3658.0</v>
      </c>
      <c r="B376" s="2">
        <v>202.0</v>
      </c>
      <c r="C376" s="2">
        <v>3.0</v>
      </c>
      <c r="D376" s="2" t="s">
        <v>263</v>
      </c>
      <c r="E376" s="2" t="s">
        <v>2310</v>
      </c>
      <c r="H376" s="2">
        <v>3.0</v>
      </c>
      <c r="I376" s="2">
        <v>0.0</v>
      </c>
      <c r="K376" s="8" t="str">
        <f t="shared" si="1"/>
        <v>CALL InsertOrUpdateAtributosProductos ('3658','202','3','MEDIDAS','25 mm x 3/4"','3','0');</v>
      </c>
    </row>
    <row r="377">
      <c r="A377" s="2">
        <v>3659.0</v>
      </c>
      <c r="B377" s="2">
        <v>202.0</v>
      </c>
      <c r="C377" s="2">
        <v>3.0</v>
      </c>
      <c r="D377" s="2" t="s">
        <v>263</v>
      </c>
      <c r="E377" s="2" t="s">
        <v>2311</v>
      </c>
      <c r="H377" s="2">
        <v>4.0</v>
      </c>
      <c r="I377" s="2">
        <v>0.0</v>
      </c>
      <c r="K377" s="8" t="str">
        <f t="shared" si="1"/>
        <v>CALL InsertOrUpdateAtributosProductos ('3659','202','3','MEDIDAS','32 mm x 1"','4','0');</v>
      </c>
    </row>
    <row r="378">
      <c r="A378" s="2">
        <v>3660.0</v>
      </c>
      <c r="B378" s="2">
        <v>202.0</v>
      </c>
      <c r="C378" s="2">
        <v>3.0</v>
      </c>
      <c r="D378" s="2" t="s">
        <v>263</v>
      </c>
      <c r="E378" s="2" t="s">
        <v>2312</v>
      </c>
      <c r="H378" s="2">
        <v>5.0</v>
      </c>
      <c r="I378" s="2">
        <v>0.0</v>
      </c>
      <c r="K378" s="8" t="str">
        <f t="shared" si="1"/>
        <v>CALL InsertOrUpdateAtributosProductos ('3660','202','3','MEDIDAS','32 mm x 1/2"','5','0');</v>
      </c>
    </row>
    <row r="379">
      <c r="A379" s="2">
        <v>3661.0</v>
      </c>
      <c r="B379" s="2">
        <v>202.0</v>
      </c>
      <c r="C379" s="2">
        <v>3.0</v>
      </c>
      <c r="D379" s="2" t="s">
        <v>263</v>
      </c>
      <c r="E379" s="2" t="s">
        <v>2313</v>
      </c>
      <c r="H379" s="2">
        <v>6.0</v>
      </c>
      <c r="I379" s="2">
        <v>0.0</v>
      </c>
      <c r="K379" s="8" t="str">
        <f t="shared" si="1"/>
        <v>CALL InsertOrUpdateAtributosProductos ('3661','202','3','MEDIDAS','32 mm x 3/4"','6','0');</v>
      </c>
    </row>
    <row r="380">
      <c r="A380" s="2">
        <v>3662.0</v>
      </c>
      <c r="B380" s="2">
        <v>203.0</v>
      </c>
      <c r="C380" s="2">
        <v>3.0</v>
      </c>
      <c r="D380" s="2" t="s">
        <v>263</v>
      </c>
      <c r="E380" s="2" t="s">
        <v>2308</v>
      </c>
      <c r="H380" s="2">
        <v>1.0</v>
      </c>
      <c r="I380" s="2">
        <v>0.0</v>
      </c>
      <c r="K380" s="8" t="str">
        <f t="shared" si="1"/>
        <v>CALL InsertOrUpdateAtributosProductos ('3662','203','3','MEDIDAS','20 mm x 1/2"','1','0');</v>
      </c>
    </row>
    <row r="381">
      <c r="A381" s="2">
        <v>3663.0</v>
      </c>
      <c r="B381" s="2">
        <v>203.0</v>
      </c>
      <c r="C381" s="2">
        <v>3.0</v>
      </c>
      <c r="D381" s="2" t="s">
        <v>263</v>
      </c>
      <c r="E381" s="2" t="s">
        <v>2309</v>
      </c>
      <c r="H381" s="2">
        <v>2.0</v>
      </c>
      <c r="I381" s="2">
        <v>0.0</v>
      </c>
      <c r="K381" s="8" t="str">
        <f t="shared" si="1"/>
        <v>CALL InsertOrUpdateAtributosProductos ('3663','203','3','MEDIDAS','25 mm x 1/2"','2','0');</v>
      </c>
    </row>
    <row r="382">
      <c r="A382" s="2">
        <v>3664.0</v>
      </c>
      <c r="B382" s="2">
        <v>203.0</v>
      </c>
      <c r="C382" s="2">
        <v>3.0</v>
      </c>
      <c r="D382" s="2" t="s">
        <v>263</v>
      </c>
      <c r="E382" s="2" t="s">
        <v>2310</v>
      </c>
      <c r="H382" s="2">
        <v>3.0</v>
      </c>
      <c r="I382" s="2">
        <v>0.0</v>
      </c>
      <c r="K382" s="8" t="str">
        <f t="shared" si="1"/>
        <v>CALL InsertOrUpdateAtributosProductos ('3664','203','3','MEDIDAS','25 mm x 3/4"','3','0');</v>
      </c>
    </row>
    <row r="383">
      <c r="A383" s="2">
        <v>3665.0</v>
      </c>
      <c r="B383" s="2">
        <v>203.0</v>
      </c>
      <c r="C383" s="2">
        <v>3.0</v>
      </c>
      <c r="D383" s="2" t="s">
        <v>263</v>
      </c>
      <c r="E383" s="2" t="s">
        <v>2311</v>
      </c>
      <c r="H383" s="2">
        <v>4.0</v>
      </c>
      <c r="I383" s="2">
        <v>0.0</v>
      </c>
      <c r="K383" s="8" t="str">
        <f t="shared" si="1"/>
        <v>CALL InsertOrUpdateAtributosProductos ('3665','203','3','MEDIDAS','32 mm x 1"','4','0');</v>
      </c>
    </row>
    <row r="384">
      <c r="A384" s="2">
        <v>3666.0</v>
      </c>
      <c r="B384" s="2">
        <v>203.0</v>
      </c>
      <c r="C384" s="2">
        <v>3.0</v>
      </c>
      <c r="D384" s="2" t="s">
        <v>263</v>
      </c>
      <c r="E384" s="2" t="s">
        <v>2312</v>
      </c>
      <c r="H384" s="2">
        <v>5.0</v>
      </c>
      <c r="I384" s="2">
        <v>0.0</v>
      </c>
      <c r="K384" s="8" t="str">
        <f t="shared" si="1"/>
        <v>CALL InsertOrUpdateAtributosProductos ('3666','203','3','MEDIDAS','32 mm x 1/2"','5','0');</v>
      </c>
    </row>
    <row r="385">
      <c r="A385" s="2">
        <v>3667.0</v>
      </c>
      <c r="B385" s="2">
        <v>203.0</v>
      </c>
      <c r="C385" s="2">
        <v>3.0</v>
      </c>
      <c r="D385" s="2" t="s">
        <v>263</v>
      </c>
      <c r="E385" s="2" t="s">
        <v>2313</v>
      </c>
      <c r="H385" s="2">
        <v>6.0</v>
      </c>
      <c r="I385" s="2">
        <v>0.0</v>
      </c>
      <c r="K385" s="8" t="str">
        <f t="shared" si="1"/>
        <v>CALL InsertOrUpdateAtributosProductos ('3667','203','3','MEDIDAS','32 mm x 3/4"','6','0');</v>
      </c>
    </row>
    <row r="386">
      <c r="A386" s="2">
        <v>3668.0</v>
      </c>
      <c r="B386" s="2">
        <v>204.0</v>
      </c>
      <c r="C386" s="2">
        <v>3.0</v>
      </c>
      <c r="D386" s="2" t="s">
        <v>263</v>
      </c>
      <c r="E386" s="2" t="s">
        <v>2314</v>
      </c>
      <c r="H386" s="2">
        <v>1.0</v>
      </c>
      <c r="I386" s="2">
        <v>0.0</v>
      </c>
      <c r="K386" s="8" t="str">
        <f t="shared" si="1"/>
        <v>CALL InsertOrUpdateAtributosProductos ('3668','204','3','MEDIDAS','20x20x20 mm','1','0');</v>
      </c>
    </row>
    <row r="387">
      <c r="A387" s="2">
        <v>3669.0</v>
      </c>
      <c r="B387" s="2">
        <v>204.0</v>
      </c>
      <c r="C387" s="2">
        <v>3.0</v>
      </c>
      <c r="D387" s="2" t="s">
        <v>263</v>
      </c>
      <c r="E387" s="2" t="s">
        <v>2315</v>
      </c>
      <c r="H387" s="2">
        <v>2.0</v>
      </c>
      <c r="I387" s="2">
        <v>0.0</v>
      </c>
      <c r="K387" s="8" t="str">
        <f t="shared" si="1"/>
        <v>CALL InsertOrUpdateAtributosProductos ('3669','204','3','MEDIDAS','25x25x25 mm','2','0');</v>
      </c>
    </row>
    <row r="388">
      <c r="A388" s="2">
        <v>3670.0</v>
      </c>
      <c r="B388" s="2">
        <v>204.0</v>
      </c>
      <c r="C388" s="2">
        <v>3.0</v>
      </c>
      <c r="D388" s="2" t="s">
        <v>263</v>
      </c>
      <c r="E388" s="2" t="s">
        <v>2316</v>
      </c>
      <c r="H388" s="2">
        <v>3.0</v>
      </c>
      <c r="I388" s="2">
        <v>0.0</v>
      </c>
      <c r="K388" s="8" t="str">
        <f t="shared" si="1"/>
        <v>CALL InsertOrUpdateAtributosProductos ('3670','204','3','MEDIDAS','32x32x32 mm','3','0');</v>
      </c>
    </row>
    <row r="389">
      <c r="A389" s="2">
        <v>3671.0</v>
      </c>
      <c r="B389" s="2">
        <v>204.0</v>
      </c>
      <c r="C389" s="2">
        <v>3.0</v>
      </c>
      <c r="D389" s="2" t="s">
        <v>263</v>
      </c>
      <c r="E389" s="2" t="s">
        <v>2317</v>
      </c>
      <c r="H389" s="2">
        <v>4.0</v>
      </c>
      <c r="I389" s="2">
        <v>0.0</v>
      </c>
      <c r="K389" s="8" t="str">
        <f t="shared" si="1"/>
        <v>CALL InsertOrUpdateAtributosProductos ('3671','204','3','MEDIDAS','40 x 40 x 40 mm','4','0');</v>
      </c>
    </row>
    <row r="390">
      <c r="A390" s="2">
        <v>3672.0</v>
      </c>
      <c r="B390" s="2">
        <v>204.0</v>
      </c>
      <c r="C390" s="2">
        <v>3.0</v>
      </c>
      <c r="D390" s="2" t="s">
        <v>263</v>
      </c>
      <c r="E390" s="2" t="s">
        <v>2318</v>
      </c>
      <c r="H390" s="2">
        <v>5.0</v>
      </c>
      <c r="I390" s="2">
        <v>0.0</v>
      </c>
      <c r="K390" s="8" t="str">
        <f t="shared" si="1"/>
        <v>CALL InsertOrUpdateAtributosProductos ('3672','204','3','MEDIDAS','50 x 50 x 50 mm','5','0');</v>
      </c>
    </row>
    <row r="391">
      <c r="A391" s="2">
        <v>3673.0</v>
      </c>
      <c r="B391" s="2">
        <v>204.0</v>
      </c>
      <c r="C391" s="2">
        <v>3.0</v>
      </c>
      <c r="D391" s="2" t="s">
        <v>263</v>
      </c>
      <c r="E391" s="2" t="s">
        <v>2319</v>
      </c>
      <c r="H391" s="2">
        <v>6.0</v>
      </c>
      <c r="I391" s="2">
        <v>0.0</v>
      </c>
      <c r="K391" s="8" t="str">
        <f t="shared" si="1"/>
        <v>CALL InsertOrUpdateAtributosProductos ('3673','204','3','MEDIDAS','63 x 63 x 63 mm','6','0');</v>
      </c>
    </row>
    <row r="392">
      <c r="A392" s="2">
        <v>3674.0</v>
      </c>
      <c r="B392" s="2">
        <v>205.0</v>
      </c>
      <c r="C392" s="2">
        <v>3.0</v>
      </c>
      <c r="D392" s="2" t="s">
        <v>263</v>
      </c>
      <c r="E392" s="2" t="s">
        <v>2320</v>
      </c>
      <c r="H392" s="2">
        <v>1.0</v>
      </c>
      <c r="I392" s="2">
        <v>0.0</v>
      </c>
      <c r="K392" s="8" t="str">
        <f t="shared" si="1"/>
        <v>CALL InsertOrUpdateAtributosProductos ('3674','205','3','MEDIDAS','25 x 20 x 25 mm','1','0');</v>
      </c>
    </row>
    <row r="393">
      <c r="A393" s="2">
        <v>3675.0</v>
      </c>
      <c r="B393" s="2">
        <v>205.0</v>
      </c>
      <c r="C393" s="2">
        <v>3.0</v>
      </c>
      <c r="D393" s="2" t="s">
        <v>263</v>
      </c>
      <c r="E393" s="2" t="s">
        <v>2321</v>
      </c>
      <c r="H393" s="2">
        <v>2.0</v>
      </c>
      <c r="I393" s="2">
        <v>0.0</v>
      </c>
      <c r="K393" s="8" t="str">
        <f t="shared" si="1"/>
        <v>CALL InsertOrUpdateAtributosProductos ('3675','205','3','MEDIDAS','32 x 20 x 32 mm','2','0');</v>
      </c>
    </row>
    <row r="394">
      <c r="A394" s="2">
        <v>3676.0</v>
      </c>
      <c r="B394" s="2">
        <v>205.0</v>
      </c>
      <c r="C394" s="2">
        <v>3.0</v>
      </c>
      <c r="D394" s="2" t="s">
        <v>263</v>
      </c>
      <c r="E394" s="2" t="s">
        <v>2322</v>
      </c>
      <c r="H394" s="2">
        <v>3.0</v>
      </c>
      <c r="I394" s="2">
        <v>0.0</v>
      </c>
      <c r="K394" s="8" t="str">
        <f t="shared" si="1"/>
        <v>CALL InsertOrUpdateAtributosProductos ('3676','205','3','MEDIDAS','32 x 25 x 32 mm','3','0');</v>
      </c>
    </row>
    <row r="395">
      <c r="A395" s="2">
        <v>3677.0</v>
      </c>
      <c r="B395" s="2">
        <v>205.0</v>
      </c>
      <c r="C395" s="2">
        <v>3.0</v>
      </c>
      <c r="D395" s="2" t="s">
        <v>263</v>
      </c>
      <c r="E395" s="2" t="s">
        <v>2323</v>
      </c>
      <c r="H395" s="2">
        <v>4.0</v>
      </c>
      <c r="I395" s="2">
        <v>0.0</v>
      </c>
      <c r="K395" s="8" t="str">
        <f t="shared" si="1"/>
        <v>CALL InsertOrUpdateAtributosProductos ('3677','205','3','MEDIDAS','40 x 25 x 40 mm','4','0');</v>
      </c>
    </row>
    <row r="396">
      <c r="A396" s="2">
        <v>3678.0</v>
      </c>
      <c r="B396" s="2">
        <v>205.0</v>
      </c>
      <c r="C396" s="2">
        <v>3.0</v>
      </c>
      <c r="D396" s="2" t="s">
        <v>263</v>
      </c>
      <c r="E396" s="2" t="s">
        <v>2324</v>
      </c>
      <c r="H396" s="2">
        <v>5.0</v>
      </c>
      <c r="I396" s="2">
        <v>0.0</v>
      </c>
      <c r="K396" s="8" t="str">
        <f t="shared" si="1"/>
        <v>CALL InsertOrUpdateAtributosProductos ('3678','205','3','MEDIDAS','40 x 32 x 40 mm','5','0');</v>
      </c>
    </row>
    <row r="397">
      <c r="A397" s="2">
        <v>3679.0</v>
      </c>
      <c r="B397" s="2">
        <v>205.0</v>
      </c>
      <c r="C397" s="2">
        <v>3.0</v>
      </c>
      <c r="D397" s="2" t="s">
        <v>263</v>
      </c>
      <c r="E397" s="2" t="s">
        <v>2325</v>
      </c>
      <c r="H397" s="2">
        <v>6.0</v>
      </c>
      <c r="I397" s="2">
        <v>0.0</v>
      </c>
      <c r="K397" s="8" t="str">
        <f t="shared" si="1"/>
        <v>CALL InsertOrUpdateAtributosProductos ('3679','205','3','MEDIDAS','50 x 25 x 50 mm','6','0');</v>
      </c>
    </row>
    <row r="398">
      <c r="A398" s="2">
        <v>3680.0</v>
      </c>
      <c r="B398" s="2">
        <v>205.0</v>
      </c>
      <c r="C398" s="2">
        <v>3.0</v>
      </c>
      <c r="D398" s="2" t="s">
        <v>263</v>
      </c>
      <c r="E398" s="2" t="s">
        <v>2326</v>
      </c>
      <c r="H398" s="2">
        <v>7.0</v>
      </c>
      <c r="I398" s="2">
        <v>0.0</v>
      </c>
      <c r="K398" s="8" t="str">
        <f t="shared" si="1"/>
        <v>CALL InsertOrUpdateAtributosProductos ('3680','205','3','MEDIDAS','50 x 32 x 50 mm','7','0');</v>
      </c>
    </row>
    <row r="399">
      <c r="A399" s="2">
        <v>3681.0</v>
      </c>
      <c r="B399" s="2">
        <v>205.0</v>
      </c>
      <c r="C399" s="2">
        <v>3.0</v>
      </c>
      <c r="D399" s="2" t="s">
        <v>263</v>
      </c>
      <c r="E399" s="2" t="s">
        <v>2327</v>
      </c>
      <c r="H399" s="2">
        <v>8.0</v>
      </c>
      <c r="I399" s="2">
        <v>0.0</v>
      </c>
      <c r="K399" s="8" t="str">
        <f t="shared" si="1"/>
        <v>CALL InsertOrUpdateAtributosProductos ('3681','205','3','MEDIDAS','50 x 40 x 50 mm','8','0');</v>
      </c>
    </row>
    <row r="400">
      <c r="A400" s="2">
        <v>3682.0</v>
      </c>
      <c r="B400" s="2">
        <v>205.0</v>
      </c>
      <c r="C400" s="2">
        <v>3.0</v>
      </c>
      <c r="D400" s="2" t="s">
        <v>263</v>
      </c>
      <c r="E400" s="2" t="s">
        <v>2328</v>
      </c>
      <c r="H400" s="2">
        <v>9.0</v>
      </c>
      <c r="I400" s="2">
        <v>0.0</v>
      </c>
      <c r="K400" s="8" t="str">
        <f t="shared" si="1"/>
        <v>CALL InsertOrUpdateAtributosProductos ('3682','205','3','MEDIDAS','63 x 40 x 63 mm','9','0');</v>
      </c>
    </row>
    <row r="401">
      <c r="A401" s="2">
        <v>3683.0</v>
      </c>
      <c r="B401" s="2">
        <v>205.0</v>
      </c>
      <c r="C401" s="2">
        <v>3.0</v>
      </c>
      <c r="D401" s="2" t="s">
        <v>263</v>
      </c>
      <c r="E401" s="2" t="s">
        <v>2329</v>
      </c>
      <c r="H401" s="2">
        <v>10.0</v>
      </c>
      <c r="I401" s="2">
        <v>0.0</v>
      </c>
      <c r="K401" s="8" t="str">
        <f t="shared" si="1"/>
        <v>CALL InsertOrUpdateAtributosProductos ('3683','205','3','MEDIDAS','63 x 50 x 63 mm','10','0');</v>
      </c>
    </row>
    <row r="402">
      <c r="A402" s="2">
        <v>3684.0</v>
      </c>
      <c r="B402" s="2">
        <v>206.0</v>
      </c>
      <c r="C402" s="2">
        <v>3.0</v>
      </c>
      <c r="D402" s="2" t="s">
        <v>263</v>
      </c>
      <c r="E402" s="2" t="s">
        <v>2308</v>
      </c>
      <c r="H402" s="2">
        <v>1.0</v>
      </c>
      <c r="I402" s="2">
        <v>0.0</v>
      </c>
      <c r="K402" s="8" t="str">
        <f t="shared" si="1"/>
        <v>CALL InsertOrUpdateAtributosProductos ('3684','206','3','MEDIDAS','20 mm x 1/2"','1','0');</v>
      </c>
    </row>
    <row r="403">
      <c r="A403" s="2">
        <v>3685.0</v>
      </c>
      <c r="B403" s="2">
        <v>206.0</v>
      </c>
      <c r="C403" s="2">
        <v>3.0</v>
      </c>
      <c r="D403" s="2" t="s">
        <v>263</v>
      </c>
      <c r="E403" s="2" t="s">
        <v>2330</v>
      </c>
      <c r="H403" s="2">
        <v>2.0</v>
      </c>
      <c r="I403" s="2">
        <v>0.0</v>
      </c>
      <c r="K403" s="8" t="str">
        <f t="shared" si="1"/>
        <v>CALL InsertOrUpdateAtributosProductos ('3685','206','3','MEDIDAS','20 mm x 3/8"','2','0');</v>
      </c>
    </row>
    <row r="404">
      <c r="A404" s="2">
        <v>3686.0</v>
      </c>
      <c r="B404" s="2">
        <v>206.0</v>
      </c>
      <c r="C404" s="2">
        <v>3.0</v>
      </c>
      <c r="D404" s="2" t="s">
        <v>263</v>
      </c>
      <c r="E404" s="2" t="s">
        <v>2310</v>
      </c>
      <c r="H404" s="2">
        <v>3.0</v>
      </c>
      <c r="I404" s="2">
        <v>0.0</v>
      </c>
      <c r="K404" s="8" t="str">
        <f t="shared" si="1"/>
        <v>CALL InsertOrUpdateAtributosProductos ('3686','206','3','MEDIDAS','25 mm x 3/4"','3','0');</v>
      </c>
    </row>
    <row r="405">
      <c r="A405" s="2">
        <v>3687.0</v>
      </c>
      <c r="B405" s="2">
        <v>206.0</v>
      </c>
      <c r="C405" s="2">
        <v>3.0</v>
      </c>
      <c r="D405" s="2" t="s">
        <v>263</v>
      </c>
      <c r="E405" s="2" t="s">
        <v>2311</v>
      </c>
      <c r="H405" s="2">
        <v>4.0</v>
      </c>
      <c r="I405" s="2">
        <v>0.0</v>
      </c>
      <c r="K405" s="8" t="str">
        <f t="shared" si="1"/>
        <v>CALL InsertOrUpdateAtributosProductos ('3687','206','3','MEDIDAS','32 mm x 1"','4','0');</v>
      </c>
    </row>
    <row r="406">
      <c r="A406" s="2">
        <v>3688.0</v>
      </c>
      <c r="B406" s="2">
        <v>206.0</v>
      </c>
      <c r="C406" s="2">
        <v>3.0</v>
      </c>
      <c r="D406" s="2" t="s">
        <v>263</v>
      </c>
      <c r="E406" s="2" t="s">
        <v>2331</v>
      </c>
      <c r="H406" s="2">
        <v>5.0</v>
      </c>
      <c r="I406" s="2">
        <v>0.0</v>
      </c>
      <c r="K406" s="8" t="str">
        <f t="shared" si="1"/>
        <v>CALL InsertOrUpdateAtributosProductos ('3688','206','3','MEDIDAS','40 mm x 1 1/4"','5','0');</v>
      </c>
    </row>
    <row r="407">
      <c r="A407" s="2">
        <v>3689.0</v>
      </c>
      <c r="B407" s="2">
        <v>206.0</v>
      </c>
      <c r="C407" s="2">
        <v>3.0</v>
      </c>
      <c r="D407" s="2" t="s">
        <v>263</v>
      </c>
      <c r="E407" s="2" t="s">
        <v>2332</v>
      </c>
      <c r="H407" s="2">
        <v>6.0</v>
      </c>
      <c r="I407" s="2">
        <v>0.0</v>
      </c>
      <c r="K407" s="8" t="str">
        <f t="shared" si="1"/>
        <v>CALL InsertOrUpdateAtributosProductos ('3689','206','3','MEDIDAS','50 mm x 1 1/2"','6','0');</v>
      </c>
    </row>
    <row r="408">
      <c r="A408" s="2">
        <v>3690.0</v>
      </c>
      <c r="B408" s="2">
        <v>206.0</v>
      </c>
      <c r="C408" s="2">
        <v>3.0</v>
      </c>
      <c r="D408" s="2" t="s">
        <v>263</v>
      </c>
      <c r="E408" s="2" t="s">
        <v>2333</v>
      </c>
      <c r="H408" s="2">
        <v>7.0</v>
      </c>
      <c r="I408" s="2">
        <v>0.0</v>
      </c>
      <c r="K408" s="8" t="str">
        <f t="shared" si="1"/>
        <v>CALL InsertOrUpdateAtributosProductos ('3690','206','3','MEDIDAS','63 mm x 2"','7','0');</v>
      </c>
    </row>
    <row r="409">
      <c r="A409" s="2">
        <v>3691.0</v>
      </c>
      <c r="B409" s="2">
        <v>207.0</v>
      </c>
      <c r="C409" s="2">
        <v>3.0</v>
      </c>
      <c r="D409" s="2" t="s">
        <v>263</v>
      </c>
      <c r="E409" s="2" t="s">
        <v>2308</v>
      </c>
      <c r="H409" s="2">
        <v>1.0</v>
      </c>
      <c r="I409" s="2">
        <v>0.0</v>
      </c>
      <c r="K409" s="8" t="str">
        <f t="shared" si="1"/>
        <v>CALL InsertOrUpdateAtributosProductos ('3691','207','3','MEDIDAS','20 mm x 1/2"','1','0');</v>
      </c>
    </row>
    <row r="410">
      <c r="A410" s="2">
        <v>3692.0</v>
      </c>
      <c r="B410" s="2">
        <v>207.0</v>
      </c>
      <c r="C410" s="2">
        <v>3.0</v>
      </c>
      <c r="D410" s="2" t="s">
        <v>263</v>
      </c>
      <c r="E410" s="2" t="s">
        <v>2330</v>
      </c>
      <c r="H410" s="2">
        <v>2.0</v>
      </c>
      <c r="I410" s="2">
        <v>0.0</v>
      </c>
      <c r="K410" s="8" t="str">
        <f t="shared" si="1"/>
        <v>CALL InsertOrUpdateAtributosProductos ('3692','207','3','MEDIDAS','20 mm x 3/8"','2','0');</v>
      </c>
    </row>
    <row r="411">
      <c r="A411" s="2">
        <v>3693.0</v>
      </c>
      <c r="B411" s="2">
        <v>207.0</v>
      </c>
      <c r="C411" s="2">
        <v>3.0</v>
      </c>
      <c r="D411" s="2" t="s">
        <v>263</v>
      </c>
      <c r="E411" s="2" t="s">
        <v>2310</v>
      </c>
      <c r="H411" s="2">
        <v>3.0</v>
      </c>
      <c r="I411" s="2">
        <v>0.0</v>
      </c>
      <c r="K411" s="8" t="str">
        <f t="shared" si="1"/>
        <v>CALL InsertOrUpdateAtributosProductos ('3693','207','3','MEDIDAS','25 mm x 3/4"','3','0');</v>
      </c>
    </row>
    <row r="412">
      <c r="A412" s="2">
        <v>3694.0</v>
      </c>
      <c r="B412" s="2">
        <v>207.0</v>
      </c>
      <c r="C412" s="2">
        <v>3.0</v>
      </c>
      <c r="D412" s="2" t="s">
        <v>263</v>
      </c>
      <c r="E412" s="2" t="s">
        <v>2311</v>
      </c>
      <c r="H412" s="2">
        <v>4.0</v>
      </c>
      <c r="I412" s="2">
        <v>0.0</v>
      </c>
      <c r="K412" s="8" t="str">
        <f t="shared" si="1"/>
        <v>CALL InsertOrUpdateAtributosProductos ('3694','207','3','MEDIDAS','32 mm x 1"','4','0');</v>
      </c>
    </row>
    <row r="413">
      <c r="A413" s="2">
        <v>3695.0</v>
      </c>
      <c r="B413" s="2">
        <v>207.0</v>
      </c>
      <c r="C413" s="2">
        <v>3.0</v>
      </c>
      <c r="D413" s="2" t="s">
        <v>263</v>
      </c>
      <c r="E413" s="2" t="s">
        <v>2334</v>
      </c>
      <c r="H413" s="2">
        <v>5.0</v>
      </c>
      <c r="I413" s="2">
        <v>0.0</v>
      </c>
      <c r="K413" s="8" t="str">
        <f t="shared" si="1"/>
        <v>CALL InsertOrUpdateAtributosProductos ('3695','207','3','MEDIDAS','40 mm x 1.1/4"','5','0');</v>
      </c>
    </row>
    <row r="414">
      <c r="A414" s="2">
        <v>3696.0</v>
      </c>
      <c r="B414" s="2">
        <v>207.0</v>
      </c>
      <c r="C414" s="2">
        <v>3.0</v>
      </c>
      <c r="D414" s="2" t="s">
        <v>263</v>
      </c>
      <c r="E414" s="2" t="s">
        <v>2335</v>
      </c>
      <c r="H414" s="2">
        <v>6.0</v>
      </c>
      <c r="I414" s="2">
        <v>0.0</v>
      </c>
      <c r="K414" s="8" t="str">
        <f t="shared" si="1"/>
        <v>CALL InsertOrUpdateAtributosProductos ('3696','207','3','MEDIDAS','50 mm x 1.1/2"','6','0');</v>
      </c>
    </row>
    <row r="415">
      <c r="A415" s="2">
        <v>3697.0</v>
      </c>
      <c r="B415" s="2">
        <v>207.0</v>
      </c>
      <c r="C415" s="2">
        <v>3.0</v>
      </c>
      <c r="D415" s="2" t="s">
        <v>263</v>
      </c>
      <c r="E415" s="2" t="s">
        <v>2333</v>
      </c>
      <c r="H415" s="2">
        <v>7.0</v>
      </c>
      <c r="I415" s="2">
        <v>0.0</v>
      </c>
      <c r="K415" s="8" t="str">
        <f t="shared" si="1"/>
        <v>CALL InsertOrUpdateAtributosProductos ('3697','207','3','MEDIDAS','63 mm x 2"','7','0');</v>
      </c>
    </row>
    <row r="416">
      <c r="A416" s="2">
        <v>3698.0</v>
      </c>
      <c r="B416" s="2">
        <v>208.0</v>
      </c>
      <c r="C416" s="2">
        <v>3.0</v>
      </c>
      <c r="D416" s="2" t="s">
        <v>263</v>
      </c>
      <c r="E416" s="2" t="s">
        <v>2336</v>
      </c>
      <c r="H416" s="2">
        <v>1.0</v>
      </c>
      <c r="I416" s="2">
        <v>0.0</v>
      </c>
      <c r="K416" s="8" t="str">
        <f t="shared" si="1"/>
        <v>CALL InsertOrUpdateAtributosProductos ('3698','208','3','MEDIDAS','32 mm x 4 mts','1','0');</v>
      </c>
    </row>
    <row r="417">
      <c r="A417" s="2">
        <v>3699.0</v>
      </c>
      <c r="B417" s="2">
        <v>208.0</v>
      </c>
      <c r="C417" s="2">
        <v>3.0</v>
      </c>
      <c r="D417" s="2" t="s">
        <v>263</v>
      </c>
      <c r="E417" s="2" t="s">
        <v>2337</v>
      </c>
      <c r="H417" s="2">
        <v>2.0</v>
      </c>
      <c r="I417" s="2">
        <v>0.0</v>
      </c>
      <c r="K417" s="8" t="str">
        <f t="shared" si="1"/>
        <v>CALL InsertOrUpdateAtributosProductos ('3699','208','3','MEDIDAS','40 mm x 4 mts','2','0');</v>
      </c>
    </row>
    <row r="418">
      <c r="A418" s="2">
        <v>3700.0</v>
      </c>
      <c r="B418" s="2">
        <v>208.0</v>
      </c>
      <c r="C418" s="2">
        <v>3.0</v>
      </c>
      <c r="D418" s="2" t="s">
        <v>263</v>
      </c>
      <c r="E418" s="2" t="s">
        <v>2338</v>
      </c>
      <c r="H418" s="2">
        <v>3.0</v>
      </c>
      <c r="I418" s="2">
        <v>0.0</v>
      </c>
      <c r="K418" s="8" t="str">
        <f t="shared" si="1"/>
        <v>CALL InsertOrUpdateAtributosProductos ('3700','208','3','MEDIDAS','50 mm x 4 mts','3','0');</v>
      </c>
    </row>
    <row r="419">
      <c r="A419" s="2">
        <v>3701.0</v>
      </c>
      <c r="B419" s="2">
        <v>208.0</v>
      </c>
      <c r="C419" s="2">
        <v>3.0</v>
      </c>
      <c r="D419" s="2" t="s">
        <v>263</v>
      </c>
      <c r="E419" s="2" t="s">
        <v>2339</v>
      </c>
      <c r="H419" s="2">
        <v>4.0</v>
      </c>
      <c r="I419" s="2">
        <v>0.0</v>
      </c>
      <c r="K419" s="8" t="str">
        <f t="shared" si="1"/>
        <v>CALL InsertOrUpdateAtributosProductos ('3701','208','3','MEDIDAS','63 mm x 4 mts','4','0');</v>
      </c>
    </row>
    <row r="420">
      <c r="A420" s="2">
        <v>3702.0</v>
      </c>
      <c r="B420" s="2">
        <v>209.0</v>
      </c>
      <c r="C420" s="2">
        <v>3.0</v>
      </c>
      <c r="D420" s="2" t="s">
        <v>263</v>
      </c>
      <c r="E420" s="2" t="s">
        <v>2340</v>
      </c>
      <c r="H420" s="2">
        <v>1.0</v>
      </c>
      <c r="I420" s="2">
        <v>0.0</v>
      </c>
      <c r="K420" s="8" t="str">
        <f t="shared" si="1"/>
        <v>CALL InsertOrUpdateAtributosProductos ('3702','209','3','MEDIDAS','20 mm x 4 mts','1','0');</v>
      </c>
    </row>
    <row r="421">
      <c r="A421" s="2">
        <v>3703.0</v>
      </c>
      <c r="B421" s="2">
        <v>209.0</v>
      </c>
      <c r="C421" s="2">
        <v>3.0</v>
      </c>
      <c r="D421" s="2" t="s">
        <v>263</v>
      </c>
      <c r="E421" s="2" t="s">
        <v>2341</v>
      </c>
      <c r="H421" s="2">
        <v>2.0</v>
      </c>
      <c r="I421" s="2">
        <v>0.0</v>
      </c>
      <c r="K421" s="8" t="str">
        <f t="shared" si="1"/>
        <v>CALL InsertOrUpdateAtributosProductos ('3703','209','3','MEDIDAS','25 mm x 4 mts','2','0');</v>
      </c>
    </row>
    <row r="422">
      <c r="A422" s="2">
        <v>3704.0</v>
      </c>
      <c r="B422" s="2">
        <v>209.0</v>
      </c>
      <c r="C422" s="2">
        <v>3.0</v>
      </c>
      <c r="D422" s="2" t="s">
        <v>263</v>
      </c>
      <c r="E422" s="2" t="s">
        <v>2336</v>
      </c>
      <c r="H422" s="2">
        <v>3.0</v>
      </c>
      <c r="I422" s="2">
        <v>0.0</v>
      </c>
      <c r="K422" s="8" t="str">
        <f t="shared" si="1"/>
        <v>CALL InsertOrUpdateAtributosProductos ('3704','209','3','MEDIDAS','32 mm x 4 mts','3','0');</v>
      </c>
    </row>
    <row r="423">
      <c r="A423" s="2">
        <v>3705.0</v>
      </c>
      <c r="B423" s="2">
        <v>209.0</v>
      </c>
      <c r="C423" s="2">
        <v>3.0</v>
      </c>
      <c r="D423" s="2" t="s">
        <v>263</v>
      </c>
      <c r="E423" s="2" t="s">
        <v>2337</v>
      </c>
      <c r="H423" s="2">
        <v>4.0</v>
      </c>
      <c r="I423" s="2">
        <v>0.0</v>
      </c>
      <c r="K423" s="8" t="str">
        <f t="shared" si="1"/>
        <v>CALL InsertOrUpdateAtributosProductos ('3705','209','3','MEDIDAS','40 mm x 4 mts','4','0');</v>
      </c>
    </row>
    <row r="424">
      <c r="A424" s="2">
        <v>3706.0</v>
      </c>
      <c r="B424" s="2">
        <v>209.0</v>
      </c>
      <c r="C424" s="2">
        <v>3.0</v>
      </c>
      <c r="D424" s="2" t="s">
        <v>263</v>
      </c>
      <c r="E424" s="2" t="s">
        <v>2338</v>
      </c>
      <c r="H424" s="2">
        <v>5.0</v>
      </c>
      <c r="I424" s="2">
        <v>0.0</v>
      </c>
      <c r="K424" s="8" t="str">
        <f t="shared" si="1"/>
        <v>CALL InsertOrUpdateAtributosProductos ('3706','209','3','MEDIDAS','50 mm x 4 mts','5','0');</v>
      </c>
    </row>
    <row r="425">
      <c r="A425" s="2">
        <v>3707.0</v>
      </c>
      <c r="B425" s="2">
        <v>209.0</v>
      </c>
      <c r="C425" s="2">
        <v>3.0</v>
      </c>
      <c r="D425" s="2" t="s">
        <v>263</v>
      </c>
      <c r="E425" s="2" t="s">
        <v>2339</v>
      </c>
      <c r="H425" s="2">
        <v>6.0</v>
      </c>
      <c r="I425" s="2">
        <v>0.0</v>
      </c>
      <c r="K425" s="8" t="str">
        <f t="shared" si="1"/>
        <v>CALL InsertOrUpdateAtributosProductos ('3707','209','3','MEDIDAS','63 mm x 4 mts','6','0');</v>
      </c>
    </row>
    <row r="426">
      <c r="A426" s="2">
        <v>3708.0</v>
      </c>
      <c r="B426" s="2">
        <v>210.0</v>
      </c>
      <c r="C426" s="2">
        <v>3.0</v>
      </c>
      <c r="D426" s="2" t="s">
        <v>263</v>
      </c>
      <c r="E426" s="2" t="s">
        <v>2302</v>
      </c>
      <c r="H426" s="2">
        <v>1.0</v>
      </c>
      <c r="I426" s="2">
        <v>0.0</v>
      </c>
      <c r="K426" s="8" t="str">
        <f t="shared" si="1"/>
        <v>CALL InsertOrUpdateAtributosProductos ('3708','210','3','MEDIDAS','20 mm','1','0');</v>
      </c>
    </row>
    <row r="427">
      <c r="A427" s="2">
        <v>3709.0</v>
      </c>
      <c r="B427" s="2">
        <v>210.0</v>
      </c>
      <c r="C427" s="2">
        <v>3.0</v>
      </c>
      <c r="D427" s="2" t="s">
        <v>263</v>
      </c>
      <c r="E427" s="2" t="s">
        <v>2303</v>
      </c>
      <c r="H427" s="2">
        <v>2.0</v>
      </c>
      <c r="I427" s="2">
        <v>0.0</v>
      </c>
      <c r="K427" s="8" t="str">
        <f t="shared" si="1"/>
        <v>CALL InsertOrUpdateAtributosProductos ('3709','210','3','MEDIDAS','25 mm','2','0');</v>
      </c>
    </row>
    <row r="428">
      <c r="A428" s="2">
        <v>3710.0</v>
      </c>
      <c r="B428" s="2">
        <v>211.0</v>
      </c>
      <c r="C428" s="2">
        <v>3.0</v>
      </c>
      <c r="D428" s="2" t="s">
        <v>263</v>
      </c>
      <c r="E428" s="2" t="s">
        <v>2302</v>
      </c>
      <c r="H428" s="2">
        <v>1.0</v>
      </c>
      <c r="I428" s="2">
        <v>0.0</v>
      </c>
      <c r="K428" s="8" t="str">
        <f t="shared" si="1"/>
        <v>CALL InsertOrUpdateAtributosProductos ('3710','211','3','MEDIDAS','20 mm','1','0');</v>
      </c>
    </row>
    <row r="429">
      <c r="A429" s="2">
        <v>3711.0</v>
      </c>
      <c r="B429" s="2">
        <v>211.0</v>
      </c>
      <c r="C429" s="2">
        <v>3.0</v>
      </c>
      <c r="D429" s="2" t="s">
        <v>263</v>
      </c>
      <c r="E429" s="2" t="s">
        <v>2303</v>
      </c>
      <c r="H429" s="2">
        <v>2.0</v>
      </c>
      <c r="I429" s="2">
        <v>0.0</v>
      </c>
      <c r="K429" s="8" t="str">
        <f t="shared" si="1"/>
        <v>CALL InsertOrUpdateAtributosProductos ('3711','211','3','MEDIDAS','25 mm','2','0');</v>
      </c>
    </row>
    <row r="430">
      <c r="A430" s="2">
        <v>3712.0</v>
      </c>
      <c r="B430" s="2">
        <v>211.0</v>
      </c>
      <c r="C430" s="2">
        <v>3.0</v>
      </c>
      <c r="D430" s="2" t="s">
        <v>263</v>
      </c>
      <c r="E430" s="2" t="s">
        <v>2304</v>
      </c>
      <c r="H430" s="2">
        <v>3.0</v>
      </c>
      <c r="I430" s="2">
        <v>0.0</v>
      </c>
      <c r="K430" s="8" t="str">
        <f t="shared" si="1"/>
        <v>CALL InsertOrUpdateAtributosProductos ('3712','211','3','MEDIDAS','32 mm','3','0');</v>
      </c>
    </row>
    <row r="431">
      <c r="A431" s="2">
        <v>3713.0</v>
      </c>
      <c r="B431" s="2">
        <v>211.0</v>
      </c>
      <c r="C431" s="2">
        <v>3.0</v>
      </c>
      <c r="D431" s="2" t="s">
        <v>263</v>
      </c>
      <c r="E431" s="2" t="s">
        <v>2305</v>
      </c>
      <c r="H431" s="2">
        <v>4.0</v>
      </c>
      <c r="I431" s="2">
        <v>0.0</v>
      </c>
      <c r="K431" s="8" t="str">
        <f t="shared" si="1"/>
        <v>CALL InsertOrUpdateAtributosProductos ('3713','211','3','MEDIDAS','40 mm','4','0');</v>
      </c>
    </row>
    <row r="432">
      <c r="A432" s="2">
        <v>3714.0</v>
      </c>
      <c r="B432" s="2">
        <v>211.0</v>
      </c>
      <c r="C432" s="2">
        <v>3.0</v>
      </c>
      <c r="D432" s="2" t="s">
        <v>263</v>
      </c>
      <c r="E432" s="2" t="s">
        <v>2306</v>
      </c>
      <c r="H432" s="2">
        <v>5.0</v>
      </c>
      <c r="I432" s="2">
        <v>0.0</v>
      </c>
      <c r="K432" s="8" t="str">
        <f t="shared" si="1"/>
        <v>CALL InsertOrUpdateAtributosProductos ('3714','211','3','MEDIDAS','50 mm','5','0');</v>
      </c>
    </row>
    <row r="433">
      <c r="A433" s="2">
        <v>3715.0</v>
      </c>
      <c r="B433" s="2">
        <v>211.0</v>
      </c>
      <c r="C433" s="2">
        <v>3.0</v>
      </c>
      <c r="D433" s="2" t="s">
        <v>263</v>
      </c>
      <c r="E433" s="2" t="s">
        <v>2307</v>
      </c>
      <c r="H433" s="2">
        <v>6.0</v>
      </c>
      <c r="I433" s="2">
        <v>0.0</v>
      </c>
      <c r="K433" s="8" t="str">
        <f t="shared" si="1"/>
        <v>CALL InsertOrUpdateAtributosProductos ('3715','211','3','MEDIDAS','63 mm','6','0');</v>
      </c>
    </row>
    <row r="434">
      <c r="A434" s="2">
        <v>3716.0</v>
      </c>
      <c r="B434" s="2">
        <v>212.0</v>
      </c>
      <c r="C434" s="2">
        <v>3.0</v>
      </c>
      <c r="D434" s="2" t="s">
        <v>263</v>
      </c>
      <c r="E434" s="2" t="s">
        <v>2305</v>
      </c>
      <c r="H434" s="2">
        <v>1.0</v>
      </c>
      <c r="I434" s="2">
        <v>0.0</v>
      </c>
      <c r="K434" s="8" t="str">
        <f t="shared" si="1"/>
        <v>CALL InsertOrUpdateAtributosProductos ('3716','212','3','MEDIDAS','40 mm','1','0');</v>
      </c>
    </row>
    <row r="435">
      <c r="A435" s="2">
        <v>3717.0</v>
      </c>
      <c r="B435" s="2">
        <v>212.0</v>
      </c>
      <c r="C435" s="2">
        <v>3.0</v>
      </c>
      <c r="D435" s="2" t="s">
        <v>263</v>
      </c>
      <c r="E435" s="2" t="s">
        <v>2306</v>
      </c>
      <c r="H435" s="2">
        <v>2.0</v>
      </c>
      <c r="I435" s="2">
        <v>0.0</v>
      </c>
      <c r="K435" s="8" t="str">
        <f t="shared" si="1"/>
        <v>CALL InsertOrUpdateAtributosProductos ('3717','212','3','MEDIDAS','50 mm','2','0');</v>
      </c>
    </row>
    <row r="436">
      <c r="A436" s="2">
        <v>3718.0</v>
      </c>
      <c r="B436" s="2">
        <v>212.0</v>
      </c>
      <c r="C436" s="2">
        <v>3.0</v>
      </c>
      <c r="D436" s="2" t="s">
        <v>263</v>
      </c>
      <c r="E436" s="2" t="s">
        <v>2307</v>
      </c>
      <c r="H436" s="2">
        <v>3.0</v>
      </c>
      <c r="I436" s="2">
        <v>0.0</v>
      </c>
      <c r="K436" s="8" t="str">
        <f t="shared" si="1"/>
        <v>CALL InsertOrUpdateAtributosProductos ('3718','212','3','MEDIDAS','63 mm','3','0');</v>
      </c>
    </row>
    <row r="437">
      <c r="A437" s="2">
        <v>3719.0</v>
      </c>
      <c r="B437" s="2">
        <v>213.0</v>
      </c>
      <c r="C437" s="2">
        <v>3.0</v>
      </c>
      <c r="D437" s="2" t="s">
        <v>263</v>
      </c>
      <c r="E437" s="2" t="s">
        <v>2302</v>
      </c>
      <c r="H437" s="2">
        <v>1.0</v>
      </c>
      <c r="I437" s="2">
        <v>0.0</v>
      </c>
      <c r="K437" s="8" t="str">
        <f t="shared" si="1"/>
        <v>CALL InsertOrUpdateAtributosProductos ('3719','213','3','MEDIDAS','20 mm','1','0');</v>
      </c>
    </row>
    <row r="438">
      <c r="A438" s="2">
        <v>3720.0</v>
      </c>
      <c r="B438" s="2">
        <v>213.0</v>
      </c>
      <c r="C438" s="2">
        <v>3.0</v>
      </c>
      <c r="D438" s="2" t="s">
        <v>263</v>
      </c>
      <c r="E438" s="2" t="s">
        <v>2303</v>
      </c>
      <c r="H438" s="2">
        <v>2.0</v>
      </c>
      <c r="I438" s="2">
        <v>0.0</v>
      </c>
      <c r="K438" s="8" t="str">
        <f t="shared" si="1"/>
        <v>CALL InsertOrUpdateAtributosProductos ('3720','213','3','MEDIDAS','25 mm','2','0');</v>
      </c>
    </row>
    <row r="439">
      <c r="A439" s="2">
        <v>3721.0</v>
      </c>
      <c r="B439" s="2">
        <v>213.0</v>
      </c>
      <c r="C439" s="2">
        <v>3.0</v>
      </c>
      <c r="D439" s="2" t="s">
        <v>263</v>
      </c>
      <c r="E439" s="2" t="s">
        <v>2304</v>
      </c>
      <c r="H439" s="2">
        <v>3.0</v>
      </c>
      <c r="I439" s="2">
        <v>0.0</v>
      </c>
      <c r="K439" s="8" t="str">
        <f t="shared" si="1"/>
        <v>CALL InsertOrUpdateAtributosProductos ('3721','213','3','MEDIDAS','32 mm','3','0');</v>
      </c>
    </row>
    <row r="440">
      <c r="A440" s="2">
        <v>3722.0</v>
      </c>
      <c r="B440" s="2">
        <v>214.0</v>
      </c>
      <c r="C440" s="2">
        <v>3.0</v>
      </c>
      <c r="D440" s="2" t="s">
        <v>263</v>
      </c>
      <c r="E440" s="2" t="s">
        <v>2302</v>
      </c>
      <c r="H440" s="2">
        <v>1.0</v>
      </c>
      <c r="I440" s="2">
        <v>0.0</v>
      </c>
      <c r="K440" s="8" t="str">
        <f t="shared" si="1"/>
        <v>CALL InsertOrUpdateAtributosProductos ('3722','214','3','MEDIDAS','20 mm','1','0');</v>
      </c>
    </row>
    <row r="441">
      <c r="A441" s="2">
        <v>3723.0</v>
      </c>
      <c r="B441" s="2">
        <v>214.0</v>
      </c>
      <c r="C441" s="2">
        <v>3.0</v>
      </c>
      <c r="D441" s="2" t="s">
        <v>263</v>
      </c>
      <c r="E441" s="2" t="s">
        <v>2303</v>
      </c>
      <c r="H441" s="2">
        <v>2.0</v>
      </c>
      <c r="I441" s="2">
        <v>0.0</v>
      </c>
      <c r="K441" s="8" t="str">
        <f t="shared" si="1"/>
        <v>CALL InsertOrUpdateAtributosProductos ('3723','214','3','MEDIDAS','25 mm','2','0');</v>
      </c>
    </row>
    <row r="442">
      <c r="A442" s="2">
        <v>3724.0</v>
      </c>
      <c r="B442" s="2">
        <v>214.0</v>
      </c>
      <c r="C442" s="2">
        <v>3.0</v>
      </c>
      <c r="D442" s="2" t="s">
        <v>263</v>
      </c>
      <c r="E442" s="2" t="s">
        <v>2304</v>
      </c>
      <c r="H442" s="2">
        <v>3.0</v>
      </c>
      <c r="I442" s="2">
        <v>0.0</v>
      </c>
      <c r="K442" s="8" t="str">
        <f t="shared" si="1"/>
        <v>CALL InsertOrUpdateAtributosProductos ('3724','214','3','MEDIDAS','32 mm','3','0');</v>
      </c>
    </row>
    <row r="443">
      <c r="A443" s="2">
        <v>3725.0</v>
      </c>
      <c r="B443" s="2">
        <v>214.0</v>
      </c>
      <c r="C443" s="2">
        <v>3.0</v>
      </c>
      <c r="D443" s="2" t="s">
        <v>263</v>
      </c>
      <c r="E443" s="2" t="s">
        <v>2305</v>
      </c>
      <c r="H443" s="2">
        <v>4.0</v>
      </c>
      <c r="I443" s="2">
        <v>0.0</v>
      </c>
      <c r="K443" s="8" t="str">
        <f t="shared" si="1"/>
        <v>CALL InsertOrUpdateAtributosProductos ('3725','214','3','MEDIDAS','40 mm','4','0');</v>
      </c>
    </row>
    <row r="444">
      <c r="A444" s="2">
        <v>3726.0</v>
      </c>
      <c r="B444" s="2">
        <v>214.0</v>
      </c>
      <c r="C444" s="2">
        <v>3.0</v>
      </c>
      <c r="D444" s="2" t="s">
        <v>263</v>
      </c>
      <c r="E444" s="2" t="s">
        <v>2306</v>
      </c>
      <c r="H444" s="2">
        <v>5.0</v>
      </c>
      <c r="I444" s="2">
        <v>0.0</v>
      </c>
      <c r="K444" s="8" t="str">
        <f t="shared" si="1"/>
        <v>CALL InsertOrUpdateAtributosProductos ('3726','214','3','MEDIDAS','50 mm','5','0');</v>
      </c>
    </row>
    <row r="445">
      <c r="A445" s="2">
        <v>3727.0</v>
      </c>
      <c r="B445" s="2">
        <v>214.0</v>
      </c>
      <c r="C445" s="2">
        <v>3.0</v>
      </c>
      <c r="D445" s="2" t="s">
        <v>263</v>
      </c>
      <c r="E445" s="2" t="s">
        <v>2307</v>
      </c>
      <c r="H445" s="2">
        <v>6.0</v>
      </c>
      <c r="I445" s="2">
        <v>0.0</v>
      </c>
      <c r="K445" s="8" t="str">
        <f t="shared" si="1"/>
        <v>CALL InsertOrUpdateAtributosProductos ('3727','214','3','MEDIDAS','63 mm','6','0');</v>
      </c>
    </row>
    <row r="446">
      <c r="A446" s="2">
        <v>3728.0</v>
      </c>
      <c r="B446" s="2">
        <v>215.0</v>
      </c>
      <c r="C446" s="2">
        <v>3.0</v>
      </c>
      <c r="D446" s="2" t="s">
        <v>263</v>
      </c>
      <c r="E446" s="2" t="s">
        <v>2302</v>
      </c>
      <c r="H446" s="2">
        <v>1.0</v>
      </c>
      <c r="I446" s="2">
        <v>0.0</v>
      </c>
      <c r="K446" s="8" t="str">
        <f t="shared" si="1"/>
        <v>CALL InsertOrUpdateAtributosProductos ('3728','215','3','MEDIDAS','20 mm','1','0');</v>
      </c>
    </row>
    <row r="447">
      <c r="A447" s="2">
        <v>3729.0</v>
      </c>
      <c r="B447" s="2">
        <v>215.0</v>
      </c>
      <c r="C447" s="2">
        <v>3.0</v>
      </c>
      <c r="D447" s="2" t="s">
        <v>263</v>
      </c>
      <c r="E447" s="2" t="s">
        <v>2303</v>
      </c>
      <c r="H447" s="2">
        <v>2.0</v>
      </c>
      <c r="I447" s="2">
        <v>0.0</v>
      </c>
      <c r="K447" s="8" t="str">
        <f t="shared" si="1"/>
        <v>CALL InsertOrUpdateAtributosProductos ('3729','215','3','MEDIDAS','25 mm','2','0');</v>
      </c>
    </row>
    <row r="448">
      <c r="A448" s="2">
        <v>3730.0</v>
      </c>
      <c r="B448" s="2">
        <v>215.0</v>
      </c>
      <c r="C448" s="2">
        <v>3.0</v>
      </c>
      <c r="D448" s="2" t="s">
        <v>263</v>
      </c>
      <c r="E448" s="2" t="s">
        <v>2304</v>
      </c>
      <c r="H448" s="2">
        <v>3.0</v>
      </c>
      <c r="I448" s="2">
        <v>0.0</v>
      </c>
      <c r="K448" s="8" t="str">
        <f t="shared" si="1"/>
        <v>CALL InsertOrUpdateAtributosProductos ('3730','215','3','MEDIDAS','32 mm','3','0');</v>
      </c>
    </row>
    <row r="449">
      <c r="A449" s="2">
        <v>3731.0</v>
      </c>
      <c r="B449" s="2">
        <v>216.0</v>
      </c>
      <c r="C449" s="2">
        <v>3.0</v>
      </c>
      <c r="D449" s="2" t="s">
        <v>263</v>
      </c>
      <c r="E449" s="2" t="s">
        <v>2342</v>
      </c>
      <c r="H449" s="2">
        <v>1.0</v>
      </c>
      <c r="I449" s="2">
        <v>0.0</v>
      </c>
      <c r="K449" s="8" t="str">
        <f t="shared" si="1"/>
        <v>CALL InsertOrUpdateAtributosProductos ('3731','216','3','MEDIDAS','0,9 x 1 mts','1','0');</v>
      </c>
    </row>
    <row r="450">
      <c r="A450" s="2">
        <v>3732.0</v>
      </c>
      <c r="B450" s="2">
        <v>216.0</v>
      </c>
      <c r="C450" s="2">
        <v>3.0</v>
      </c>
      <c r="D450" s="2" t="s">
        <v>263</v>
      </c>
      <c r="E450" s="2" t="s">
        <v>2343</v>
      </c>
      <c r="H450" s="2">
        <v>2.0</v>
      </c>
      <c r="I450" s="2">
        <v>0.0</v>
      </c>
      <c r="K450" s="8" t="str">
        <f t="shared" si="1"/>
        <v>CALL InsertOrUpdateAtributosProductos ('3732','216','3','MEDIDAS','1,03 x 1,1 mts','2','0');</v>
      </c>
    </row>
    <row r="451">
      <c r="A451" s="2">
        <v>3733.0</v>
      </c>
      <c r="B451" s="2">
        <v>216.0</v>
      </c>
      <c r="C451" s="2">
        <v>3.0</v>
      </c>
      <c r="D451" s="2" t="s">
        <v>263</v>
      </c>
      <c r="E451" s="2" t="s">
        <v>2344</v>
      </c>
      <c r="H451" s="2">
        <v>3.0</v>
      </c>
      <c r="I451" s="2">
        <v>0.0</v>
      </c>
      <c r="K451" s="8" t="str">
        <f t="shared" si="1"/>
        <v>CALL InsertOrUpdateAtributosProductos ('3733','216','3','MEDIDAS','1,15 x 1,25 mts','3','0');</v>
      </c>
    </row>
    <row r="452">
      <c r="A452" s="2">
        <v>3734.0</v>
      </c>
      <c r="B452" s="2">
        <v>216.0</v>
      </c>
      <c r="C452" s="2">
        <v>3.0</v>
      </c>
      <c r="D452" s="2" t="s">
        <v>263</v>
      </c>
      <c r="E452" s="2" t="s">
        <v>2345</v>
      </c>
      <c r="H452" s="2">
        <v>4.0</v>
      </c>
      <c r="I452" s="2">
        <v>0.0</v>
      </c>
      <c r="K452" s="8" t="str">
        <f t="shared" si="1"/>
        <v>CALL InsertOrUpdateAtributosProductos ('3734','216','3','MEDIDAS','1, 35 x 1,45 mts','4','0');</v>
      </c>
    </row>
    <row r="453">
      <c r="A453" s="2">
        <v>3735.0</v>
      </c>
      <c r="B453" s="2">
        <v>217.0</v>
      </c>
      <c r="C453" s="2">
        <v>3.0</v>
      </c>
      <c r="D453" s="2" t="s">
        <v>263</v>
      </c>
      <c r="E453" s="2" t="s">
        <v>2346</v>
      </c>
      <c r="H453" s="2">
        <v>1.0</v>
      </c>
      <c r="I453" s="2">
        <v>0.0</v>
      </c>
      <c r="K453" s="8" t="str">
        <f t="shared" si="1"/>
        <v>CALL InsertOrUpdateAtributosProductos ('3735','217','3','MEDIDAS','H138cm Diam114cm','1','0');</v>
      </c>
    </row>
    <row r="454">
      <c r="A454" s="2">
        <v>3736.0</v>
      </c>
      <c r="B454" s="2">
        <v>218.0</v>
      </c>
      <c r="C454" s="2">
        <v>3.0</v>
      </c>
      <c r="D454" s="2" t="s">
        <v>263</v>
      </c>
      <c r="E454" s="2" t="s">
        <v>2347</v>
      </c>
      <c r="H454" s="2">
        <v>1.0</v>
      </c>
      <c r="I454" s="2">
        <v>0.0</v>
      </c>
      <c r="K454" s="8" t="str">
        <f t="shared" si="1"/>
        <v>CALL InsertOrUpdateAtributosProductos ('3736','218','3','MEDIDAS','600 lts h60 cm lado120cm','1','0');</v>
      </c>
    </row>
    <row r="455">
      <c r="A455" s="2">
        <v>3737.0</v>
      </c>
      <c r="B455" s="2">
        <v>218.0</v>
      </c>
      <c r="C455" s="2">
        <v>3.0</v>
      </c>
      <c r="D455" s="2" t="s">
        <v>263</v>
      </c>
      <c r="E455" s="2" t="s">
        <v>2348</v>
      </c>
      <c r="H455" s="2">
        <v>1.0</v>
      </c>
      <c r="I455" s="2">
        <v>0.0</v>
      </c>
      <c r="K455" s="8" t="str">
        <f t="shared" si="1"/>
        <v>CALL InsertOrUpdateAtributosProductos ('3737','218','3','MEDIDAS','1000 lts h90 cm lado120cm','1','0');</v>
      </c>
    </row>
    <row r="456">
      <c r="A456" s="2">
        <v>3738.0</v>
      </c>
      <c r="B456" s="2">
        <v>219.0</v>
      </c>
      <c r="C456" s="2">
        <v>5.0</v>
      </c>
      <c r="D456" s="2" t="s">
        <v>540</v>
      </c>
      <c r="E456" s="2" t="s">
        <v>2349</v>
      </c>
      <c r="H456" s="2">
        <v>1.0</v>
      </c>
      <c r="I456" s="2">
        <v>0.0</v>
      </c>
      <c r="K456" s="8" t="str">
        <f t="shared" si="1"/>
        <v>CALL InsertOrUpdateAtributosProductos ('3738','219','5','LITROS','600 lts','1','0');</v>
      </c>
    </row>
    <row r="457">
      <c r="A457" s="2">
        <v>3739.0</v>
      </c>
      <c r="B457" s="2">
        <v>219.0</v>
      </c>
      <c r="C457" s="2">
        <v>5.0</v>
      </c>
      <c r="D457" s="2" t="s">
        <v>540</v>
      </c>
      <c r="E457" s="2" t="s">
        <v>2350</v>
      </c>
      <c r="H457" s="2">
        <v>1.0</v>
      </c>
      <c r="I457" s="2">
        <v>0.0</v>
      </c>
      <c r="K457" s="8" t="str">
        <f t="shared" si="1"/>
        <v>CALL InsertOrUpdateAtributosProductos ('3739','219','5','LITROS','1100 lts','1','0');</v>
      </c>
    </row>
    <row r="458">
      <c r="A458" s="2">
        <v>3740.0</v>
      </c>
      <c r="B458" s="2">
        <v>220.0</v>
      </c>
      <c r="C458" s="2">
        <v>5.0</v>
      </c>
      <c r="D458" s="2" t="s">
        <v>540</v>
      </c>
      <c r="E458" s="2" t="s">
        <v>2351</v>
      </c>
      <c r="H458" s="2">
        <v>1.0</v>
      </c>
      <c r="I458" s="2">
        <v>0.0</v>
      </c>
      <c r="K458" s="8" t="str">
        <f t="shared" si="1"/>
        <v>CALL InsertOrUpdateAtributosProductos ('3740','220','5','LITROS','400 lts','1','0');</v>
      </c>
    </row>
    <row r="459">
      <c r="A459" s="2">
        <v>3741.0</v>
      </c>
      <c r="B459" s="2">
        <v>220.0</v>
      </c>
      <c r="C459" s="2">
        <v>5.0</v>
      </c>
      <c r="D459" s="2" t="s">
        <v>540</v>
      </c>
      <c r="E459" s="2" t="s">
        <v>2349</v>
      </c>
      <c r="H459" s="2">
        <v>1.0</v>
      </c>
      <c r="I459" s="2">
        <v>0.0</v>
      </c>
      <c r="K459" s="8" t="str">
        <f t="shared" si="1"/>
        <v>CALL InsertOrUpdateAtributosProductos ('3741','220','5','LITROS','600 lts','1','0');</v>
      </c>
    </row>
    <row r="460">
      <c r="A460" s="2">
        <v>3742.0</v>
      </c>
      <c r="B460" s="2">
        <v>220.0</v>
      </c>
      <c r="C460" s="2">
        <v>5.0</v>
      </c>
      <c r="D460" s="2" t="s">
        <v>540</v>
      </c>
      <c r="E460" s="2" t="s">
        <v>2352</v>
      </c>
      <c r="H460" s="2">
        <v>1.0</v>
      </c>
      <c r="I460" s="2">
        <v>0.0</v>
      </c>
      <c r="K460" s="8" t="str">
        <f t="shared" si="1"/>
        <v>CALL InsertOrUpdateAtributosProductos ('3742','220','5','LITROS','850 lts','1','0');</v>
      </c>
    </row>
    <row r="461">
      <c r="A461" s="2">
        <v>3743.0</v>
      </c>
      <c r="B461" s="2">
        <v>220.0</v>
      </c>
      <c r="C461" s="2">
        <v>5.0</v>
      </c>
      <c r="D461" s="2" t="s">
        <v>540</v>
      </c>
      <c r="E461" s="2" t="s">
        <v>2350</v>
      </c>
      <c r="H461" s="2">
        <v>1.0</v>
      </c>
      <c r="I461" s="2">
        <v>0.0</v>
      </c>
      <c r="K461" s="8" t="str">
        <f t="shared" si="1"/>
        <v>CALL InsertOrUpdateAtributosProductos ('3743','220','5','LITROS','1100 lts','1','0');</v>
      </c>
    </row>
    <row r="462">
      <c r="A462" s="2">
        <v>3744.0</v>
      </c>
      <c r="B462" s="2">
        <v>220.0</v>
      </c>
      <c r="C462" s="2">
        <v>5.0</v>
      </c>
      <c r="D462" s="2" t="s">
        <v>540</v>
      </c>
      <c r="E462" s="2" t="s">
        <v>2353</v>
      </c>
      <c r="H462" s="2">
        <v>1.0</v>
      </c>
      <c r="I462" s="2">
        <v>0.0</v>
      </c>
      <c r="K462" s="8" t="str">
        <f t="shared" si="1"/>
        <v>CALL InsertOrUpdateAtributosProductos ('3744','220','5','LITROS','2750 lts','1','0');</v>
      </c>
    </row>
    <row r="463">
      <c r="A463" s="2">
        <v>3745.0</v>
      </c>
      <c r="B463" s="2">
        <v>221.0</v>
      </c>
      <c r="C463" s="2">
        <v>5.0</v>
      </c>
      <c r="D463" s="2" t="s">
        <v>540</v>
      </c>
      <c r="E463" s="2" t="s">
        <v>2351</v>
      </c>
      <c r="H463" s="2">
        <v>1.0</v>
      </c>
      <c r="I463" s="2">
        <v>0.0</v>
      </c>
      <c r="K463" s="8" t="str">
        <f t="shared" si="1"/>
        <v>CALL InsertOrUpdateAtributosProductos ('3745','221','5','LITROS','400 lts','1','0');</v>
      </c>
    </row>
    <row r="464">
      <c r="A464" s="2">
        <v>3746.0</v>
      </c>
      <c r="B464" s="2">
        <v>221.0</v>
      </c>
      <c r="C464" s="2">
        <v>5.0</v>
      </c>
      <c r="D464" s="2" t="s">
        <v>540</v>
      </c>
      <c r="E464" s="2" t="s">
        <v>2349</v>
      </c>
      <c r="H464" s="2">
        <v>1.0</v>
      </c>
      <c r="I464" s="2">
        <v>0.0</v>
      </c>
      <c r="K464" s="8" t="str">
        <f t="shared" si="1"/>
        <v>CALL InsertOrUpdateAtributosProductos ('3746','221','5','LITROS','600 lts','1','0');</v>
      </c>
    </row>
    <row r="465">
      <c r="A465" s="2">
        <v>3747.0</v>
      </c>
      <c r="B465" s="2">
        <v>221.0</v>
      </c>
      <c r="C465" s="2">
        <v>5.0</v>
      </c>
      <c r="D465" s="2" t="s">
        <v>540</v>
      </c>
      <c r="E465" s="2" t="s">
        <v>2352</v>
      </c>
      <c r="H465" s="2">
        <v>1.0</v>
      </c>
      <c r="I465" s="2">
        <v>0.0</v>
      </c>
      <c r="K465" s="8" t="str">
        <f t="shared" si="1"/>
        <v>CALL InsertOrUpdateAtributosProductos ('3747','221','5','LITROS','850 lts','1','0');</v>
      </c>
    </row>
    <row r="466">
      <c r="A466" s="2">
        <v>3748.0</v>
      </c>
      <c r="B466" s="2">
        <v>221.0</v>
      </c>
      <c r="C466" s="2">
        <v>5.0</v>
      </c>
      <c r="D466" s="2" t="s">
        <v>540</v>
      </c>
      <c r="E466" s="2" t="s">
        <v>2350</v>
      </c>
      <c r="H466" s="2">
        <v>1.0</v>
      </c>
      <c r="I466" s="2">
        <v>0.0</v>
      </c>
      <c r="K466" s="8" t="str">
        <f t="shared" si="1"/>
        <v>CALL InsertOrUpdateAtributosProductos ('3748','221','5','LITROS','1100 lts','1','0');</v>
      </c>
    </row>
    <row r="467">
      <c r="A467" s="2">
        <v>3749.0</v>
      </c>
      <c r="B467" s="2">
        <v>221.0</v>
      </c>
      <c r="C467" s="2">
        <v>5.0</v>
      </c>
      <c r="D467" s="2" t="s">
        <v>540</v>
      </c>
      <c r="E467" s="2" t="s">
        <v>2353</v>
      </c>
      <c r="H467" s="2">
        <v>1.0</v>
      </c>
      <c r="I467" s="2">
        <v>0.0</v>
      </c>
      <c r="K467" s="8" t="str">
        <f t="shared" si="1"/>
        <v>CALL InsertOrUpdateAtributosProductos ('3749','221','5','LITROS','2750 lts','1','0');</v>
      </c>
    </row>
    <row r="468">
      <c r="A468" s="2">
        <v>3750.0</v>
      </c>
      <c r="B468" s="2">
        <v>222.0</v>
      </c>
      <c r="C468" s="2">
        <v>5.0</v>
      </c>
      <c r="D468" s="2" t="s">
        <v>540</v>
      </c>
      <c r="E468" s="2" t="s">
        <v>2351</v>
      </c>
      <c r="H468" s="2">
        <v>1.0</v>
      </c>
      <c r="I468" s="2">
        <v>0.0</v>
      </c>
      <c r="K468" s="8" t="str">
        <f t="shared" si="1"/>
        <v>CALL InsertOrUpdateAtributosProductos ('3750','222','5','LITROS','400 lts','1','0');</v>
      </c>
    </row>
    <row r="469">
      <c r="A469" s="2">
        <v>3751.0</v>
      </c>
      <c r="B469" s="2">
        <v>222.0</v>
      </c>
      <c r="C469" s="2">
        <v>5.0</v>
      </c>
      <c r="D469" s="2" t="s">
        <v>540</v>
      </c>
      <c r="E469" s="2" t="s">
        <v>2349</v>
      </c>
      <c r="H469" s="2">
        <v>1.0</v>
      </c>
      <c r="I469" s="2">
        <v>0.0</v>
      </c>
      <c r="K469" s="8" t="str">
        <f t="shared" si="1"/>
        <v>CALL InsertOrUpdateAtributosProductos ('3751','222','5','LITROS','600 lts','1','0');</v>
      </c>
    </row>
    <row r="470">
      <c r="A470" s="2">
        <v>3752.0</v>
      </c>
      <c r="B470" s="2">
        <v>222.0</v>
      </c>
      <c r="C470" s="2">
        <v>5.0</v>
      </c>
      <c r="D470" s="2" t="s">
        <v>540</v>
      </c>
      <c r="E470" s="2" t="s">
        <v>2352</v>
      </c>
      <c r="H470" s="2">
        <v>1.0</v>
      </c>
      <c r="I470" s="2">
        <v>0.0</v>
      </c>
      <c r="K470" s="8" t="str">
        <f t="shared" si="1"/>
        <v>CALL InsertOrUpdateAtributosProductos ('3752','222','5','LITROS','850 lts','1','0');</v>
      </c>
    </row>
    <row r="471">
      <c r="A471" s="2">
        <v>3753.0</v>
      </c>
      <c r="B471" s="2">
        <v>222.0</v>
      </c>
      <c r="C471" s="2">
        <v>5.0</v>
      </c>
      <c r="D471" s="2" t="s">
        <v>540</v>
      </c>
      <c r="E471" s="2" t="s">
        <v>2350</v>
      </c>
      <c r="H471" s="2">
        <v>1.0</v>
      </c>
      <c r="I471" s="2">
        <v>0.0</v>
      </c>
      <c r="K471" s="8" t="str">
        <f t="shared" si="1"/>
        <v>CALL InsertOrUpdateAtributosProductos ('3753','222','5','LITROS','1100 lts','1','0');</v>
      </c>
    </row>
    <row r="472">
      <c r="A472" s="2">
        <v>3754.0</v>
      </c>
      <c r="B472" s="2">
        <v>222.0</v>
      </c>
      <c r="C472" s="2">
        <v>5.0</v>
      </c>
      <c r="D472" s="2" t="s">
        <v>540</v>
      </c>
      <c r="E472" s="2" t="s">
        <v>2353</v>
      </c>
      <c r="H472" s="2">
        <v>1.0</v>
      </c>
      <c r="I472" s="2">
        <v>0.0</v>
      </c>
      <c r="K472" s="8" t="str">
        <f t="shared" si="1"/>
        <v>CALL InsertOrUpdateAtributosProductos ('3754','222','5','LITROS','2750 lts','1','0');</v>
      </c>
    </row>
    <row r="473">
      <c r="A473" s="2">
        <v>3755.0</v>
      </c>
      <c r="B473" s="2">
        <v>223.0</v>
      </c>
      <c r="C473" s="2">
        <v>5.0</v>
      </c>
      <c r="D473" s="2" t="s">
        <v>540</v>
      </c>
      <c r="E473" s="2" t="s">
        <v>2354</v>
      </c>
      <c r="H473" s="2">
        <v>1.0</v>
      </c>
      <c r="I473" s="2">
        <v>0.0</v>
      </c>
      <c r="K473" s="8" t="str">
        <f t="shared" si="1"/>
        <v>CALL InsertOrUpdateAtributosProductos ('3755','223','5','LITROS','5750 lts','1','0');</v>
      </c>
    </row>
    <row r="474">
      <c r="A474" s="2">
        <v>3756.0</v>
      </c>
      <c r="B474" s="2">
        <v>223.0</v>
      </c>
      <c r="C474" s="2">
        <v>5.0</v>
      </c>
      <c r="D474" s="2" t="s">
        <v>540</v>
      </c>
      <c r="E474" s="2" t="s">
        <v>2355</v>
      </c>
      <c r="H474" s="2">
        <v>1.0</v>
      </c>
      <c r="I474" s="2">
        <v>0.0</v>
      </c>
      <c r="K474" s="8" t="str">
        <f t="shared" si="1"/>
        <v>CALL InsertOrUpdateAtributosProductos ('3756','223','5','LITROS','8000 lts','1','0');</v>
      </c>
    </row>
    <row r="475">
      <c r="A475" s="2">
        <v>3757.0</v>
      </c>
      <c r="B475" s="2">
        <v>223.0</v>
      </c>
      <c r="C475" s="2">
        <v>5.0</v>
      </c>
      <c r="D475" s="2" t="s">
        <v>540</v>
      </c>
      <c r="E475" s="2" t="s">
        <v>2356</v>
      </c>
      <c r="H475" s="2">
        <v>1.0</v>
      </c>
      <c r="I475" s="2">
        <v>0.0</v>
      </c>
      <c r="K475" s="8" t="str">
        <f t="shared" si="1"/>
        <v>CALL InsertOrUpdateAtributosProductos ('3757','223','5','LITROS','11000 lts','1','0');</v>
      </c>
    </row>
    <row r="476">
      <c r="A476" s="2">
        <v>3758.0</v>
      </c>
      <c r="B476" s="2">
        <v>223.0</v>
      </c>
      <c r="C476" s="2">
        <v>5.0</v>
      </c>
      <c r="D476" s="2" t="s">
        <v>540</v>
      </c>
      <c r="E476" s="2" t="s">
        <v>2357</v>
      </c>
      <c r="H476" s="2">
        <v>1.0</v>
      </c>
      <c r="I476" s="2">
        <v>0.0</v>
      </c>
      <c r="K476" s="8" t="str">
        <f t="shared" si="1"/>
        <v>CALL InsertOrUpdateAtributosProductos ('3758','223','5','LITROS','16000 lts','1','0');</v>
      </c>
    </row>
    <row r="477">
      <c r="A477" s="2">
        <v>3759.0</v>
      </c>
      <c r="B477" s="2">
        <v>223.0</v>
      </c>
      <c r="C477" s="2">
        <v>5.0</v>
      </c>
      <c r="D477" s="2" t="s">
        <v>540</v>
      </c>
      <c r="E477" s="2" t="s">
        <v>2358</v>
      </c>
      <c r="H477" s="2">
        <v>1.0</v>
      </c>
      <c r="I477" s="2">
        <v>0.0</v>
      </c>
      <c r="K477" s="8" t="str">
        <f t="shared" si="1"/>
        <v>CALL InsertOrUpdateAtributosProductos ('3759','223','5','LITROS','26000 lts','1','0');</v>
      </c>
    </row>
    <row r="478">
      <c r="A478" s="2">
        <v>3760.0</v>
      </c>
      <c r="B478" s="2">
        <v>225.0</v>
      </c>
      <c r="C478" s="2">
        <v>3.0</v>
      </c>
      <c r="D478" s="2" t="s">
        <v>263</v>
      </c>
      <c r="E478" s="2" t="s">
        <v>2359</v>
      </c>
      <c r="H478" s="2">
        <v>1.0</v>
      </c>
      <c r="I478" s="2">
        <v>0.0</v>
      </c>
      <c r="K478" s="8" t="str">
        <f t="shared" si="1"/>
        <v>CALL InsertOrUpdateAtributosProductos ('3760','225','3','MEDIDAS','1 pulgada','1','0');</v>
      </c>
    </row>
    <row r="479">
      <c r="A479" s="2">
        <v>3761.0</v>
      </c>
      <c r="B479" s="2">
        <v>225.0</v>
      </c>
      <c r="C479" s="2">
        <v>3.0</v>
      </c>
      <c r="D479" s="2" t="s">
        <v>263</v>
      </c>
      <c r="E479" s="2" t="s">
        <v>2360</v>
      </c>
      <c r="H479" s="2">
        <v>1.0</v>
      </c>
      <c r="I479" s="2">
        <v>0.0</v>
      </c>
      <c r="K479" s="8" t="str">
        <f t="shared" si="1"/>
        <v>CALL InsertOrUpdateAtributosProductos ('3761','225','3','MEDIDAS','1/2 pulgada','1','0');</v>
      </c>
    </row>
    <row r="480">
      <c r="A480" s="2">
        <v>3762.0</v>
      </c>
      <c r="B480" s="2">
        <v>225.0</v>
      </c>
      <c r="C480" s="2">
        <v>3.0</v>
      </c>
      <c r="D480" s="2" t="s">
        <v>263</v>
      </c>
      <c r="E480" s="2" t="s">
        <v>2361</v>
      </c>
      <c r="H480" s="2">
        <v>1.0</v>
      </c>
      <c r="I480" s="2">
        <v>0.0</v>
      </c>
      <c r="K480" s="8" t="str">
        <f t="shared" si="1"/>
        <v>CALL InsertOrUpdateAtributosProductos ('3762','225','3','MEDIDAS','3/4 pulgada','1','0');</v>
      </c>
    </row>
    <row r="481">
      <c r="A481" s="2">
        <v>3763.0</v>
      </c>
      <c r="B481" s="2">
        <v>226.0</v>
      </c>
      <c r="C481" s="2">
        <v>3.0</v>
      </c>
      <c r="D481" s="2" t="s">
        <v>263</v>
      </c>
      <c r="E481" s="2" t="s">
        <v>2362</v>
      </c>
      <c r="H481" s="2">
        <v>1.0</v>
      </c>
      <c r="I481" s="2">
        <v>0.0</v>
      </c>
      <c r="K481" s="8" t="str">
        <f t="shared" si="1"/>
        <v>CALL InsertOrUpdateAtributosProductos ('3763','226','3','MEDIDAS','40 mm x 1 mts','1','0');</v>
      </c>
    </row>
    <row r="482">
      <c r="A482" s="2">
        <v>3764.0</v>
      </c>
      <c r="B482" s="2">
        <v>226.0</v>
      </c>
      <c r="C482" s="2">
        <v>3.0</v>
      </c>
      <c r="D482" s="2" t="s">
        <v>263</v>
      </c>
      <c r="E482" s="2" t="s">
        <v>2363</v>
      </c>
      <c r="H482" s="2">
        <v>1.0</v>
      </c>
      <c r="I482" s="2">
        <v>0.0</v>
      </c>
      <c r="K482" s="8" t="str">
        <f t="shared" si="1"/>
        <v>CALL InsertOrUpdateAtributosProductos ('3764','226','3','MEDIDAS','40 mm x 2 mts','1','0');</v>
      </c>
    </row>
    <row r="483">
      <c r="A483" s="2">
        <v>3765.0</v>
      </c>
      <c r="B483" s="2">
        <v>226.0</v>
      </c>
      <c r="C483" s="2">
        <v>3.0</v>
      </c>
      <c r="D483" s="2" t="s">
        <v>263</v>
      </c>
      <c r="E483" s="2" t="s">
        <v>2364</v>
      </c>
      <c r="H483" s="2">
        <v>1.0</v>
      </c>
      <c r="I483" s="2">
        <v>0.0</v>
      </c>
      <c r="K483" s="8" t="str">
        <f t="shared" si="1"/>
        <v>CALL InsertOrUpdateAtributosProductos ('3765','226','3','MEDIDAS','40 mm x 3 mts','1','0');</v>
      </c>
    </row>
    <row r="484">
      <c r="A484" s="2">
        <v>3766.0</v>
      </c>
      <c r="B484" s="2">
        <v>226.0</v>
      </c>
      <c r="C484" s="2">
        <v>3.0</v>
      </c>
      <c r="D484" s="2" t="s">
        <v>263</v>
      </c>
      <c r="E484" s="2" t="s">
        <v>2337</v>
      </c>
      <c r="H484" s="2">
        <v>1.0</v>
      </c>
      <c r="I484" s="2">
        <v>0.0</v>
      </c>
      <c r="K484" s="8" t="str">
        <f t="shared" si="1"/>
        <v>CALL InsertOrUpdateAtributosProductos ('3766','226','3','MEDIDAS','40 mm x 4 mts','1','0');</v>
      </c>
    </row>
    <row r="485">
      <c r="A485" s="2">
        <v>3767.0</v>
      </c>
      <c r="B485" s="2">
        <v>226.0</v>
      </c>
      <c r="C485" s="2">
        <v>3.0</v>
      </c>
      <c r="D485" s="2" t="s">
        <v>263</v>
      </c>
      <c r="E485" s="2" t="s">
        <v>2365</v>
      </c>
      <c r="H485" s="2">
        <v>1.0</v>
      </c>
      <c r="I485" s="2">
        <v>0.0</v>
      </c>
      <c r="K485" s="8" t="str">
        <f t="shared" si="1"/>
        <v>CALL InsertOrUpdateAtributosProductos ('3767','226','3','MEDIDAS','50 mm x 1 mt','1','0');</v>
      </c>
    </row>
    <row r="486">
      <c r="A486" s="2">
        <v>3768.0</v>
      </c>
      <c r="B486" s="2">
        <v>226.0</v>
      </c>
      <c r="C486" s="2">
        <v>3.0</v>
      </c>
      <c r="D486" s="2" t="s">
        <v>263</v>
      </c>
      <c r="E486" s="2" t="s">
        <v>2366</v>
      </c>
      <c r="H486" s="2">
        <v>1.0</v>
      </c>
      <c r="I486" s="2">
        <v>0.0</v>
      </c>
      <c r="K486" s="8" t="str">
        <f t="shared" si="1"/>
        <v>CALL InsertOrUpdateAtributosProductos ('3768','226','3','MEDIDAS','50 mm x 2 mt','1','0');</v>
      </c>
    </row>
    <row r="487">
      <c r="A487" s="2">
        <v>3769.0</v>
      </c>
      <c r="B487" s="2">
        <v>226.0</v>
      </c>
      <c r="C487" s="2">
        <v>3.0</v>
      </c>
      <c r="D487" s="2" t="s">
        <v>263</v>
      </c>
      <c r="E487" s="2" t="s">
        <v>2367</v>
      </c>
      <c r="H487" s="2">
        <v>1.0</v>
      </c>
      <c r="I487" s="2">
        <v>0.0</v>
      </c>
      <c r="K487" s="8" t="str">
        <f t="shared" si="1"/>
        <v>CALL InsertOrUpdateAtributosProductos ('3769','226','3','MEDIDAS','50 mm x 3 mts','1','0');</v>
      </c>
    </row>
    <row r="488">
      <c r="A488" s="2">
        <v>3770.0</v>
      </c>
      <c r="B488" s="2">
        <v>226.0</v>
      </c>
      <c r="C488" s="2">
        <v>3.0</v>
      </c>
      <c r="D488" s="2" t="s">
        <v>263</v>
      </c>
      <c r="E488" s="2" t="s">
        <v>2338</v>
      </c>
      <c r="H488" s="2">
        <v>1.0</v>
      </c>
      <c r="I488" s="2">
        <v>0.0</v>
      </c>
      <c r="K488" s="8" t="str">
        <f t="shared" si="1"/>
        <v>CALL InsertOrUpdateAtributosProductos ('3770','226','3','MEDIDAS','50 mm x 4 mts','1','0');</v>
      </c>
    </row>
    <row r="489">
      <c r="A489" s="2">
        <v>3771.0</v>
      </c>
      <c r="B489" s="2">
        <v>226.0</v>
      </c>
      <c r="C489" s="2">
        <v>3.0</v>
      </c>
      <c r="D489" s="2" t="s">
        <v>263</v>
      </c>
      <c r="E489" s="2" t="s">
        <v>2368</v>
      </c>
      <c r="H489" s="2">
        <v>1.0</v>
      </c>
      <c r="I489" s="2">
        <v>0.0</v>
      </c>
      <c r="K489" s="8" t="str">
        <f t="shared" si="1"/>
        <v>CALL InsertOrUpdateAtributosProductos ('3771','226','3','MEDIDAS','63 mm x 1 mt','1','0');</v>
      </c>
    </row>
    <row r="490">
      <c r="A490" s="2">
        <v>3772.0</v>
      </c>
      <c r="B490" s="2">
        <v>226.0</v>
      </c>
      <c r="C490" s="2">
        <v>3.0</v>
      </c>
      <c r="D490" s="2" t="s">
        <v>263</v>
      </c>
      <c r="E490" s="2" t="s">
        <v>2369</v>
      </c>
      <c r="H490" s="2">
        <v>1.0</v>
      </c>
      <c r="I490" s="2">
        <v>0.0</v>
      </c>
      <c r="K490" s="8" t="str">
        <f t="shared" si="1"/>
        <v>CALL InsertOrUpdateAtributosProductos ('3772','226','3','MEDIDAS','63 mm x 2 mts','1','0');</v>
      </c>
    </row>
    <row r="491">
      <c r="A491" s="2">
        <v>3773.0</v>
      </c>
      <c r="B491" s="2">
        <v>226.0</v>
      </c>
      <c r="C491" s="2">
        <v>3.0</v>
      </c>
      <c r="D491" s="2" t="s">
        <v>263</v>
      </c>
      <c r="E491" s="2" t="s">
        <v>2370</v>
      </c>
      <c r="H491" s="2">
        <v>1.0</v>
      </c>
      <c r="I491" s="2">
        <v>0.0</v>
      </c>
      <c r="K491" s="8" t="str">
        <f t="shared" si="1"/>
        <v>CALL InsertOrUpdateAtributosProductos ('3773','226','3','MEDIDAS','63 mm x 3 mts','1','0');</v>
      </c>
    </row>
    <row r="492">
      <c r="A492" s="2">
        <v>3774.0</v>
      </c>
      <c r="B492" s="2">
        <v>226.0</v>
      </c>
      <c r="C492" s="2">
        <v>3.0</v>
      </c>
      <c r="D492" s="2" t="s">
        <v>263</v>
      </c>
      <c r="E492" s="2" t="s">
        <v>2339</v>
      </c>
      <c r="H492" s="2">
        <v>1.0</v>
      </c>
      <c r="I492" s="2">
        <v>0.0</v>
      </c>
      <c r="K492" s="8" t="str">
        <f t="shared" si="1"/>
        <v>CALL InsertOrUpdateAtributosProductos ('3774','226','3','MEDIDAS','63 mm x 4 mts','1','0');</v>
      </c>
    </row>
    <row r="493">
      <c r="A493" s="2">
        <v>3775.0</v>
      </c>
      <c r="B493" s="2">
        <v>226.0</v>
      </c>
      <c r="C493" s="2">
        <v>3.0</v>
      </c>
      <c r="D493" s="2" t="s">
        <v>263</v>
      </c>
      <c r="E493" s="2" t="s">
        <v>2371</v>
      </c>
      <c r="H493" s="2">
        <v>1.0</v>
      </c>
      <c r="I493" s="2">
        <v>0.0</v>
      </c>
      <c r="K493" s="8" t="str">
        <f t="shared" si="1"/>
        <v>CALL InsertOrUpdateAtributosProductos ('3775','226','3','MEDIDAS','110 mm x 1 mt','1','0');</v>
      </c>
    </row>
    <row r="494">
      <c r="A494" s="2">
        <v>3776.0</v>
      </c>
      <c r="B494" s="2">
        <v>226.0</v>
      </c>
      <c r="C494" s="2">
        <v>3.0</v>
      </c>
      <c r="D494" s="2" t="s">
        <v>263</v>
      </c>
      <c r="E494" s="2" t="s">
        <v>2372</v>
      </c>
      <c r="H494" s="2">
        <v>1.0</v>
      </c>
      <c r="I494" s="2">
        <v>0.0</v>
      </c>
      <c r="K494" s="8" t="str">
        <f t="shared" si="1"/>
        <v>CALL InsertOrUpdateAtributosProductos ('3776','226','3','MEDIDAS','110 mm x 2 mts','1','0');</v>
      </c>
    </row>
    <row r="495">
      <c r="A495" s="2">
        <v>3777.0</v>
      </c>
      <c r="B495" s="2">
        <v>226.0</v>
      </c>
      <c r="C495" s="2">
        <v>3.0</v>
      </c>
      <c r="D495" s="2" t="s">
        <v>263</v>
      </c>
      <c r="E495" s="2" t="s">
        <v>2373</v>
      </c>
      <c r="H495" s="2">
        <v>1.0</v>
      </c>
      <c r="I495" s="2">
        <v>0.0</v>
      </c>
      <c r="K495" s="8" t="str">
        <f t="shared" si="1"/>
        <v>CALL InsertOrUpdateAtributosProductos ('3777','226','3','MEDIDAS','110 mm x 3 mts','1','0');</v>
      </c>
    </row>
    <row r="496">
      <c r="A496" s="2">
        <v>3778.0</v>
      </c>
      <c r="B496" s="2">
        <v>226.0</v>
      </c>
      <c r="C496" s="2">
        <v>3.0</v>
      </c>
      <c r="D496" s="2" t="s">
        <v>263</v>
      </c>
      <c r="E496" s="2" t="s">
        <v>2374</v>
      </c>
      <c r="H496" s="2">
        <v>1.0</v>
      </c>
      <c r="I496" s="2">
        <v>0.0</v>
      </c>
      <c r="K496" s="8" t="str">
        <f t="shared" si="1"/>
        <v>CALL InsertOrUpdateAtributosProductos ('3778','226','3','MEDIDAS','110 mm x 4 mts','1','0');</v>
      </c>
    </row>
    <row r="497">
      <c r="A497" s="2">
        <v>3779.0</v>
      </c>
      <c r="B497" s="2">
        <v>227.0</v>
      </c>
      <c r="C497" s="2">
        <v>3.0</v>
      </c>
      <c r="D497" s="2" t="s">
        <v>263</v>
      </c>
      <c r="E497" s="2" t="s">
        <v>2305</v>
      </c>
      <c r="H497" s="2">
        <v>1.0</v>
      </c>
      <c r="I497" s="2">
        <v>0.0</v>
      </c>
      <c r="K497" s="8" t="str">
        <f t="shared" si="1"/>
        <v>CALL InsertOrUpdateAtributosProductos ('3779','227','3','MEDIDAS','40 mm','1','0');</v>
      </c>
    </row>
    <row r="498">
      <c r="A498" s="2">
        <v>3780.0</v>
      </c>
      <c r="B498" s="2">
        <v>227.0</v>
      </c>
      <c r="C498" s="2">
        <v>3.0</v>
      </c>
      <c r="D498" s="2" t="s">
        <v>263</v>
      </c>
      <c r="E498" s="2" t="s">
        <v>2306</v>
      </c>
      <c r="H498" s="2">
        <v>1.0</v>
      </c>
      <c r="I498" s="2">
        <v>0.0</v>
      </c>
      <c r="K498" s="8" t="str">
        <f t="shared" si="1"/>
        <v>CALL InsertOrUpdateAtributosProductos ('3780','227','3','MEDIDAS','50 mm','1','0');</v>
      </c>
    </row>
    <row r="499">
      <c r="A499" s="2">
        <v>3781.0</v>
      </c>
      <c r="B499" s="2">
        <v>227.0</v>
      </c>
      <c r="C499" s="2">
        <v>3.0</v>
      </c>
      <c r="D499" s="2" t="s">
        <v>263</v>
      </c>
      <c r="E499" s="2" t="s">
        <v>2307</v>
      </c>
      <c r="H499" s="2">
        <v>1.0</v>
      </c>
      <c r="I499" s="2">
        <v>0.0</v>
      </c>
      <c r="K499" s="8" t="str">
        <f t="shared" si="1"/>
        <v>CALL InsertOrUpdateAtributosProductos ('3781','227','3','MEDIDAS','63 mm','1','0');</v>
      </c>
    </row>
    <row r="500">
      <c r="A500" s="2">
        <v>3782.0</v>
      </c>
      <c r="B500" s="2">
        <v>227.0</v>
      </c>
      <c r="C500" s="2">
        <v>3.0</v>
      </c>
      <c r="D500" s="2" t="s">
        <v>263</v>
      </c>
      <c r="E500" s="2" t="s">
        <v>2375</v>
      </c>
      <c r="H500" s="2">
        <v>1.0</v>
      </c>
      <c r="I500" s="2">
        <v>0.0</v>
      </c>
      <c r="K500" s="8" t="str">
        <f t="shared" si="1"/>
        <v>CALL InsertOrUpdateAtributosProductos ('3782','227','3','MEDIDAS','110 mm','1','0');</v>
      </c>
    </row>
    <row r="501">
      <c r="A501" s="2">
        <v>3783.0</v>
      </c>
      <c r="B501" s="2">
        <v>228.0</v>
      </c>
      <c r="C501" s="2">
        <v>3.0</v>
      </c>
      <c r="D501" s="2" t="s">
        <v>263</v>
      </c>
      <c r="E501" s="2" t="s">
        <v>2305</v>
      </c>
      <c r="H501" s="2">
        <v>1.0</v>
      </c>
      <c r="I501" s="2">
        <v>0.0</v>
      </c>
      <c r="K501" s="8" t="str">
        <f t="shared" si="1"/>
        <v>CALL InsertOrUpdateAtributosProductos ('3783','228','3','MEDIDAS','40 mm','1','0');</v>
      </c>
    </row>
    <row r="502">
      <c r="A502" s="2">
        <v>3784.0</v>
      </c>
      <c r="B502" s="2">
        <v>228.0</v>
      </c>
      <c r="C502" s="2">
        <v>3.0</v>
      </c>
      <c r="D502" s="2" t="s">
        <v>263</v>
      </c>
      <c r="E502" s="2" t="s">
        <v>2306</v>
      </c>
      <c r="H502" s="2">
        <v>1.0</v>
      </c>
      <c r="I502" s="2">
        <v>0.0</v>
      </c>
      <c r="K502" s="8" t="str">
        <f t="shared" si="1"/>
        <v>CALL InsertOrUpdateAtributosProductos ('3784','228','3','MEDIDAS','50 mm','1','0');</v>
      </c>
    </row>
    <row r="503">
      <c r="A503" s="2">
        <v>3785.0</v>
      </c>
      <c r="B503" s="2">
        <v>228.0</v>
      </c>
      <c r="C503" s="2">
        <v>3.0</v>
      </c>
      <c r="D503" s="2" t="s">
        <v>263</v>
      </c>
      <c r="E503" s="2" t="s">
        <v>2307</v>
      </c>
      <c r="H503" s="2">
        <v>1.0</v>
      </c>
      <c r="I503" s="2">
        <v>0.0</v>
      </c>
      <c r="K503" s="8" t="str">
        <f t="shared" si="1"/>
        <v>CALL InsertOrUpdateAtributosProductos ('3785','228','3','MEDIDAS','63 mm','1','0');</v>
      </c>
    </row>
    <row r="504">
      <c r="A504" s="2">
        <v>3786.0</v>
      </c>
      <c r="B504" s="2">
        <v>228.0</v>
      </c>
      <c r="C504" s="2">
        <v>3.0</v>
      </c>
      <c r="D504" s="2" t="s">
        <v>263</v>
      </c>
      <c r="E504" s="2" t="s">
        <v>2375</v>
      </c>
      <c r="H504" s="2">
        <v>1.0</v>
      </c>
      <c r="I504" s="2">
        <v>0.0</v>
      </c>
      <c r="K504" s="8" t="str">
        <f t="shared" si="1"/>
        <v>CALL InsertOrUpdateAtributosProductos ('3786','228','3','MEDIDAS','110 mm','1','0');</v>
      </c>
    </row>
    <row r="505">
      <c r="A505" s="2">
        <v>3787.0</v>
      </c>
      <c r="B505" s="2">
        <v>229.0</v>
      </c>
      <c r="C505" s="2">
        <v>3.0</v>
      </c>
      <c r="D505" s="2" t="s">
        <v>263</v>
      </c>
      <c r="E505" s="2" t="s">
        <v>2305</v>
      </c>
      <c r="H505" s="2">
        <v>1.0</v>
      </c>
      <c r="I505" s="2">
        <v>0.0</v>
      </c>
      <c r="K505" s="8" t="str">
        <f t="shared" si="1"/>
        <v>CALL InsertOrUpdateAtributosProductos ('3787','229','3','MEDIDAS','40 mm','1','0');</v>
      </c>
    </row>
    <row r="506">
      <c r="A506" s="2">
        <v>3788.0</v>
      </c>
      <c r="B506" s="2">
        <v>229.0</v>
      </c>
      <c r="C506" s="2">
        <v>3.0</v>
      </c>
      <c r="D506" s="2" t="s">
        <v>263</v>
      </c>
      <c r="E506" s="2" t="s">
        <v>2306</v>
      </c>
      <c r="H506" s="2">
        <v>1.0</v>
      </c>
      <c r="I506" s="2">
        <v>0.0</v>
      </c>
      <c r="K506" s="8" t="str">
        <f t="shared" si="1"/>
        <v>CALL InsertOrUpdateAtributosProductos ('3788','229','3','MEDIDAS','50 mm','1','0');</v>
      </c>
    </row>
    <row r="507">
      <c r="A507" s="2">
        <v>3789.0</v>
      </c>
      <c r="B507" s="2">
        <v>230.0</v>
      </c>
      <c r="C507" s="2">
        <v>3.0</v>
      </c>
      <c r="D507" s="2" t="s">
        <v>263</v>
      </c>
      <c r="E507" s="2" t="s">
        <v>2305</v>
      </c>
      <c r="H507" s="2">
        <v>1.0</v>
      </c>
      <c r="I507" s="2">
        <v>0.0</v>
      </c>
      <c r="K507" s="8" t="str">
        <f t="shared" si="1"/>
        <v>CALL InsertOrUpdateAtributosProductos ('3789','230','3','MEDIDAS','40 mm','1','0');</v>
      </c>
    </row>
    <row r="508">
      <c r="A508" s="2">
        <v>3790.0</v>
      </c>
      <c r="B508" s="2">
        <v>230.0</v>
      </c>
      <c r="C508" s="2">
        <v>3.0</v>
      </c>
      <c r="D508" s="2" t="s">
        <v>263</v>
      </c>
      <c r="E508" s="2" t="s">
        <v>2306</v>
      </c>
      <c r="H508" s="2">
        <v>1.0</v>
      </c>
      <c r="I508" s="2">
        <v>0.0</v>
      </c>
      <c r="K508" s="8" t="str">
        <f t="shared" si="1"/>
        <v>CALL InsertOrUpdateAtributosProductos ('3790','230','3','MEDIDAS','50 mm','1','0');</v>
      </c>
    </row>
    <row r="509">
      <c r="A509" s="2">
        <v>3791.0</v>
      </c>
      <c r="B509" s="2">
        <v>230.0</v>
      </c>
      <c r="C509" s="2">
        <v>3.0</v>
      </c>
      <c r="D509" s="2" t="s">
        <v>263</v>
      </c>
      <c r="E509" s="2" t="s">
        <v>2307</v>
      </c>
      <c r="H509" s="2">
        <v>1.0</v>
      </c>
      <c r="I509" s="2">
        <v>0.0</v>
      </c>
      <c r="K509" s="8" t="str">
        <f t="shared" si="1"/>
        <v>CALL InsertOrUpdateAtributosProductos ('3791','230','3','MEDIDAS','63 mm','1','0');</v>
      </c>
    </row>
    <row r="510">
      <c r="A510" s="2">
        <v>3792.0</v>
      </c>
      <c r="B510" s="2">
        <v>230.0</v>
      </c>
      <c r="C510" s="2">
        <v>3.0</v>
      </c>
      <c r="D510" s="2" t="s">
        <v>263</v>
      </c>
      <c r="E510" s="2" t="s">
        <v>2375</v>
      </c>
      <c r="H510" s="2">
        <v>1.0</v>
      </c>
      <c r="I510" s="2">
        <v>0.0</v>
      </c>
      <c r="K510" s="8" t="str">
        <f t="shared" si="1"/>
        <v>CALL InsertOrUpdateAtributosProductos ('3792','230','3','MEDIDAS','110 mm','1','0');</v>
      </c>
    </row>
    <row r="511">
      <c r="A511" s="2">
        <v>3793.0</v>
      </c>
      <c r="B511" s="2">
        <v>231.0</v>
      </c>
      <c r="C511" s="2">
        <v>3.0</v>
      </c>
      <c r="D511" s="2" t="s">
        <v>263</v>
      </c>
      <c r="E511" s="2" t="s">
        <v>2305</v>
      </c>
      <c r="H511" s="2">
        <v>1.0</v>
      </c>
      <c r="I511" s="2">
        <v>0.0</v>
      </c>
      <c r="K511" s="8" t="str">
        <f t="shared" si="1"/>
        <v>CALL InsertOrUpdateAtributosProductos ('3793','231','3','MEDIDAS','40 mm','1','0');</v>
      </c>
    </row>
    <row r="512">
      <c r="A512" s="2">
        <v>3794.0</v>
      </c>
      <c r="B512" s="2">
        <v>231.0</v>
      </c>
      <c r="C512" s="2">
        <v>3.0</v>
      </c>
      <c r="D512" s="2" t="s">
        <v>263</v>
      </c>
      <c r="E512" s="2" t="s">
        <v>2306</v>
      </c>
      <c r="H512" s="2">
        <v>1.0</v>
      </c>
      <c r="I512" s="2">
        <v>0.0</v>
      </c>
      <c r="K512" s="8" t="str">
        <f t="shared" si="1"/>
        <v>CALL InsertOrUpdateAtributosProductos ('3794','231','3','MEDIDAS','50 mm','1','0');</v>
      </c>
    </row>
    <row r="513">
      <c r="A513" s="2">
        <v>3795.0</v>
      </c>
      <c r="B513" s="2">
        <v>231.0</v>
      </c>
      <c r="C513" s="2">
        <v>3.0</v>
      </c>
      <c r="D513" s="2" t="s">
        <v>263</v>
      </c>
      <c r="E513" s="2" t="s">
        <v>2307</v>
      </c>
      <c r="H513" s="2">
        <v>1.0</v>
      </c>
      <c r="I513" s="2">
        <v>0.0</v>
      </c>
      <c r="K513" s="8" t="str">
        <f t="shared" si="1"/>
        <v>CALL InsertOrUpdateAtributosProductos ('3795','231','3','MEDIDAS','63 mm','1','0');</v>
      </c>
    </row>
    <row r="514">
      <c r="A514" s="2">
        <v>3796.0</v>
      </c>
      <c r="B514" s="2">
        <v>231.0</v>
      </c>
      <c r="C514" s="2">
        <v>3.0</v>
      </c>
      <c r="D514" s="2" t="s">
        <v>263</v>
      </c>
      <c r="E514" s="2" t="s">
        <v>2375</v>
      </c>
      <c r="H514" s="2">
        <v>1.0</v>
      </c>
      <c r="I514" s="2">
        <v>0.0</v>
      </c>
      <c r="K514" s="8" t="str">
        <f t="shared" si="1"/>
        <v>CALL InsertOrUpdateAtributosProductos ('3796','231','3','MEDIDAS','110 mm','1','0');</v>
      </c>
    </row>
    <row r="515">
      <c r="A515" s="2">
        <v>3797.0</v>
      </c>
      <c r="B515" s="2">
        <v>232.0</v>
      </c>
      <c r="C515" s="2">
        <v>3.0</v>
      </c>
      <c r="D515" s="2" t="s">
        <v>263</v>
      </c>
      <c r="E515" s="2" t="s">
        <v>2305</v>
      </c>
      <c r="H515" s="2">
        <v>1.0</v>
      </c>
      <c r="I515" s="2">
        <v>0.0</v>
      </c>
      <c r="K515" s="8" t="str">
        <f t="shared" si="1"/>
        <v>CALL InsertOrUpdateAtributosProductos ('3797','232','3','MEDIDAS','40 mm','1','0');</v>
      </c>
    </row>
    <row r="516">
      <c r="A516" s="2">
        <v>3798.0</v>
      </c>
      <c r="B516" s="2">
        <v>232.0</v>
      </c>
      <c r="C516" s="2">
        <v>3.0</v>
      </c>
      <c r="D516" s="2" t="s">
        <v>263</v>
      </c>
      <c r="E516" s="2" t="s">
        <v>2306</v>
      </c>
      <c r="H516" s="2">
        <v>1.0</v>
      </c>
      <c r="I516" s="2">
        <v>0.0</v>
      </c>
      <c r="K516" s="8" t="str">
        <f t="shared" si="1"/>
        <v>CALL InsertOrUpdateAtributosProductos ('3798','232','3','MEDIDAS','50 mm','1','0');</v>
      </c>
    </row>
    <row r="517">
      <c r="A517" s="2">
        <v>3799.0</v>
      </c>
      <c r="B517" s="2">
        <v>232.0</v>
      </c>
      <c r="C517" s="2">
        <v>3.0</v>
      </c>
      <c r="D517" s="2" t="s">
        <v>263</v>
      </c>
      <c r="E517" s="2" t="s">
        <v>2307</v>
      </c>
      <c r="H517" s="2">
        <v>1.0</v>
      </c>
      <c r="I517" s="2">
        <v>0.0</v>
      </c>
      <c r="K517" s="8" t="str">
        <f t="shared" si="1"/>
        <v>CALL InsertOrUpdateAtributosProductos ('3799','232','3','MEDIDAS','63 mm','1','0');</v>
      </c>
    </row>
    <row r="518">
      <c r="A518" s="2">
        <v>3800.0</v>
      </c>
      <c r="B518" s="2">
        <v>232.0</v>
      </c>
      <c r="C518" s="2">
        <v>3.0</v>
      </c>
      <c r="D518" s="2" t="s">
        <v>263</v>
      </c>
      <c r="E518" s="2" t="s">
        <v>2375</v>
      </c>
      <c r="H518" s="2">
        <v>1.0</v>
      </c>
      <c r="I518" s="2">
        <v>0.0</v>
      </c>
      <c r="K518" s="8" t="str">
        <f t="shared" si="1"/>
        <v>CALL InsertOrUpdateAtributosProductos ('3800','232','3','MEDIDAS','110 mm','1','0');</v>
      </c>
    </row>
    <row r="519">
      <c r="A519" s="2">
        <v>3801.0</v>
      </c>
      <c r="B519" s="2">
        <v>233.0</v>
      </c>
      <c r="C519" s="2">
        <v>3.0</v>
      </c>
      <c r="D519" s="2" t="s">
        <v>263</v>
      </c>
      <c r="E519" s="2" t="s">
        <v>2305</v>
      </c>
      <c r="H519" s="2">
        <v>1.0</v>
      </c>
      <c r="I519" s="2">
        <v>0.0</v>
      </c>
      <c r="K519" s="8" t="str">
        <f t="shared" si="1"/>
        <v>CALL InsertOrUpdateAtributosProductos ('3801','233','3','MEDIDAS','40 mm','1','0');</v>
      </c>
    </row>
    <row r="520">
      <c r="A520" s="2">
        <v>3802.0</v>
      </c>
      <c r="B520" s="2">
        <v>233.0</v>
      </c>
      <c r="C520" s="2">
        <v>3.0</v>
      </c>
      <c r="D520" s="2" t="s">
        <v>263</v>
      </c>
      <c r="E520" s="2" t="s">
        <v>2306</v>
      </c>
      <c r="H520" s="2">
        <v>1.0</v>
      </c>
      <c r="I520" s="2">
        <v>0.0</v>
      </c>
      <c r="K520" s="8" t="str">
        <f t="shared" si="1"/>
        <v>CALL InsertOrUpdateAtributosProductos ('3802','233','3','MEDIDAS','50 mm','1','0');</v>
      </c>
    </row>
    <row r="521">
      <c r="A521" s="2">
        <v>3803.0</v>
      </c>
      <c r="B521" s="2">
        <v>233.0</v>
      </c>
      <c r="C521" s="2">
        <v>3.0</v>
      </c>
      <c r="D521" s="2" t="s">
        <v>263</v>
      </c>
      <c r="E521" s="2" t="s">
        <v>2307</v>
      </c>
      <c r="H521" s="2">
        <v>1.0</v>
      </c>
      <c r="I521" s="2">
        <v>0.0</v>
      </c>
      <c r="K521" s="8" t="str">
        <f t="shared" si="1"/>
        <v>CALL InsertOrUpdateAtributosProductos ('3803','233','3','MEDIDAS','63 mm','1','0');</v>
      </c>
    </row>
    <row r="522">
      <c r="A522" s="2">
        <v>3804.0</v>
      </c>
      <c r="B522" s="2">
        <v>233.0</v>
      </c>
      <c r="C522" s="2">
        <v>3.0</v>
      </c>
      <c r="D522" s="2" t="s">
        <v>263</v>
      </c>
      <c r="E522" s="2" t="s">
        <v>2375</v>
      </c>
      <c r="H522" s="2">
        <v>1.0</v>
      </c>
      <c r="I522" s="2">
        <v>0.0</v>
      </c>
      <c r="K522" s="8" t="str">
        <f t="shared" si="1"/>
        <v>CALL InsertOrUpdateAtributosProductos ('3804','233','3','MEDIDAS','110 mm','1','0');</v>
      </c>
    </row>
    <row r="523">
      <c r="A523" s="2">
        <v>4733.0</v>
      </c>
      <c r="B523" s="2">
        <v>234.0</v>
      </c>
      <c r="C523" s="2">
        <v>3.0</v>
      </c>
      <c r="D523" s="2" t="s">
        <v>263</v>
      </c>
      <c r="E523" s="2" t="s">
        <v>2375</v>
      </c>
      <c r="H523" s="2">
        <v>1.0</v>
      </c>
      <c r="I523" s="2">
        <v>0.0</v>
      </c>
      <c r="K523" s="8" t="str">
        <f t="shared" si="1"/>
        <v>CALL InsertOrUpdateAtributosProductos ('4733','234','3','MEDIDAS','110 mm','1','0');</v>
      </c>
    </row>
    <row r="524">
      <c r="A524" s="2">
        <v>3805.0</v>
      </c>
      <c r="B524" s="2">
        <v>235.0</v>
      </c>
      <c r="C524" s="2">
        <v>3.0</v>
      </c>
      <c r="D524" s="2" t="s">
        <v>263</v>
      </c>
      <c r="E524" s="2" t="s">
        <v>2376</v>
      </c>
      <c r="H524" s="2">
        <v>1.0</v>
      </c>
      <c r="I524" s="2">
        <v>0.0</v>
      </c>
      <c r="K524" s="8" t="str">
        <f t="shared" si="1"/>
        <v>CALL InsertOrUpdateAtributosProductos ('3805','235','3','MEDIDAS','50 x 40 mm','1','0');</v>
      </c>
    </row>
    <row r="525">
      <c r="A525" s="2">
        <v>3806.0</v>
      </c>
      <c r="B525" s="2">
        <v>235.0</v>
      </c>
      <c r="C525" s="2">
        <v>3.0</v>
      </c>
      <c r="D525" s="2" t="s">
        <v>263</v>
      </c>
      <c r="E525" s="2" t="s">
        <v>2377</v>
      </c>
      <c r="H525" s="2">
        <v>1.0</v>
      </c>
      <c r="I525" s="2">
        <v>0.0</v>
      </c>
      <c r="K525" s="8" t="str">
        <f t="shared" si="1"/>
        <v>CALL InsertOrUpdateAtributosProductos ('3806','235','3','MEDIDAS','63 x 50 mm','1','0');</v>
      </c>
    </row>
    <row r="526">
      <c r="A526" s="2">
        <v>3807.0</v>
      </c>
      <c r="B526" s="2">
        <v>235.0</v>
      </c>
      <c r="C526" s="2">
        <v>3.0</v>
      </c>
      <c r="D526" s="2" t="s">
        <v>263</v>
      </c>
      <c r="E526" s="2" t="s">
        <v>2378</v>
      </c>
      <c r="H526" s="2">
        <v>1.0</v>
      </c>
      <c r="I526" s="2">
        <v>0.0</v>
      </c>
      <c r="K526" s="8" t="str">
        <f t="shared" si="1"/>
        <v>CALL InsertOrUpdateAtributosProductos ('3807','235','3','MEDIDAS','110 x 40 mm','1','0');</v>
      </c>
    </row>
    <row r="527">
      <c r="A527" s="2">
        <v>3808.0</v>
      </c>
      <c r="B527" s="2">
        <v>235.0</v>
      </c>
      <c r="C527" s="2">
        <v>3.0</v>
      </c>
      <c r="D527" s="2" t="s">
        <v>263</v>
      </c>
      <c r="E527" s="2" t="s">
        <v>2379</v>
      </c>
      <c r="H527" s="2">
        <v>1.0</v>
      </c>
      <c r="I527" s="2">
        <v>0.0</v>
      </c>
      <c r="K527" s="8" t="str">
        <f t="shared" si="1"/>
        <v>CALL InsertOrUpdateAtributosProductos ('3808','235','3','MEDIDAS','110 x 50 mm','1','0');</v>
      </c>
    </row>
    <row r="528">
      <c r="A528" s="2">
        <v>3809.0</v>
      </c>
      <c r="B528" s="2">
        <v>235.0</v>
      </c>
      <c r="C528" s="2">
        <v>3.0</v>
      </c>
      <c r="D528" s="2" t="s">
        <v>263</v>
      </c>
      <c r="E528" s="2" t="s">
        <v>2380</v>
      </c>
      <c r="H528" s="2">
        <v>1.0</v>
      </c>
      <c r="I528" s="2">
        <v>0.0</v>
      </c>
      <c r="K528" s="8" t="str">
        <f t="shared" si="1"/>
        <v>CALL InsertOrUpdateAtributosProductos ('3809','235','3','MEDIDAS','110 x 63 mm','1','0');</v>
      </c>
    </row>
    <row r="529">
      <c r="A529" s="2">
        <v>3810.0</v>
      </c>
      <c r="B529" s="2">
        <v>236.0</v>
      </c>
      <c r="C529" s="2">
        <v>3.0</v>
      </c>
      <c r="D529" s="2" t="s">
        <v>263</v>
      </c>
      <c r="E529" s="2" t="s">
        <v>2381</v>
      </c>
      <c r="H529" s="2">
        <v>1.0</v>
      </c>
      <c r="I529" s="2">
        <v>0.0</v>
      </c>
      <c r="K529" s="8" t="str">
        <f t="shared" si="1"/>
        <v>CALL InsertOrUpdateAtributosProductos ('3810','236','3','MEDIDAS','40 x 40 mm','1','0');</v>
      </c>
    </row>
    <row r="530">
      <c r="A530" s="2">
        <v>3811.0</v>
      </c>
      <c r="B530" s="2">
        <v>236.0</v>
      </c>
      <c r="C530" s="2">
        <v>3.0</v>
      </c>
      <c r="D530" s="2" t="s">
        <v>263</v>
      </c>
      <c r="E530" s="2" t="s">
        <v>2382</v>
      </c>
      <c r="H530" s="2">
        <v>1.0</v>
      </c>
      <c r="I530" s="2">
        <v>0.0</v>
      </c>
      <c r="K530" s="8" t="str">
        <f t="shared" si="1"/>
        <v>CALL InsertOrUpdateAtributosProductos ('3811','236','3','MEDIDAS','50 x 50 mm','1','0');</v>
      </c>
    </row>
    <row r="531">
      <c r="A531" s="2">
        <v>3812.0</v>
      </c>
      <c r="B531" s="2">
        <v>236.0</v>
      </c>
      <c r="C531" s="2">
        <v>3.0</v>
      </c>
      <c r="D531" s="2" t="s">
        <v>263</v>
      </c>
      <c r="E531" s="2" t="s">
        <v>2383</v>
      </c>
      <c r="H531" s="2">
        <v>1.0</v>
      </c>
      <c r="I531" s="2">
        <v>0.0</v>
      </c>
      <c r="K531" s="8" t="str">
        <f t="shared" si="1"/>
        <v>CALL InsertOrUpdateAtributosProductos ('3812','236','3','MEDIDAS','63 x 63 mm','1','0');</v>
      </c>
    </row>
    <row r="532">
      <c r="A532" s="2">
        <v>3813.0</v>
      </c>
      <c r="B532" s="2">
        <v>236.0</v>
      </c>
      <c r="C532" s="2">
        <v>3.0</v>
      </c>
      <c r="D532" s="2" t="s">
        <v>263</v>
      </c>
      <c r="E532" s="2" t="s">
        <v>2384</v>
      </c>
      <c r="H532" s="2">
        <v>1.0</v>
      </c>
      <c r="I532" s="2">
        <v>0.0</v>
      </c>
      <c r="K532" s="8" t="str">
        <f t="shared" si="1"/>
        <v>CALL InsertOrUpdateAtributosProductos ('3813','236','3','MEDIDAS','110 x 110 mm','1','0');</v>
      </c>
    </row>
    <row r="533">
      <c r="A533" s="2">
        <v>3814.0</v>
      </c>
      <c r="B533" s="2">
        <v>237.0</v>
      </c>
      <c r="C533" s="2">
        <v>3.0</v>
      </c>
      <c r="D533" s="2" t="s">
        <v>263</v>
      </c>
      <c r="E533" s="2" t="s">
        <v>2381</v>
      </c>
      <c r="H533" s="2">
        <v>1.0</v>
      </c>
      <c r="I533" s="2">
        <v>0.0</v>
      </c>
      <c r="K533" s="8" t="str">
        <f t="shared" si="1"/>
        <v>CALL InsertOrUpdateAtributosProductos ('3814','237','3','MEDIDAS','40 x 40 mm','1','0');</v>
      </c>
    </row>
    <row r="534">
      <c r="A534" s="2">
        <v>3815.0</v>
      </c>
      <c r="B534" s="2">
        <v>237.0</v>
      </c>
      <c r="C534" s="2">
        <v>3.0</v>
      </c>
      <c r="D534" s="2" t="s">
        <v>263</v>
      </c>
      <c r="E534" s="2" t="s">
        <v>2382</v>
      </c>
      <c r="H534" s="2">
        <v>1.0</v>
      </c>
      <c r="I534" s="2">
        <v>0.0</v>
      </c>
      <c r="K534" s="8" t="str">
        <f t="shared" si="1"/>
        <v>CALL InsertOrUpdateAtributosProductos ('3815','237','3','MEDIDAS','50 x 50 mm','1','0');</v>
      </c>
    </row>
    <row r="535">
      <c r="A535" s="2">
        <v>3816.0</v>
      </c>
      <c r="B535" s="2">
        <v>237.0</v>
      </c>
      <c r="C535" s="2">
        <v>3.0</v>
      </c>
      <c r="D535" s="2" t="s">
        <v>263</v>
      </c>
      <c r="E535" s="2" t="s">
        <v>2383</v>
      </c>
      <c r="H535" s="2">
        <v>1.0</v>
      </c>
      <c r="I535" s="2">
        <v>0.0</v>
      </c>
      <c r="K535" s="8" t="str">
        <f t="shared" si="1"/>
        <v>CALL InsertOrUpdateAtributosProductos ('3816','237','3','MEDIDAS','63 x 63 mm','1','0');</v>
      </c>
    </row>
    <row r="536">
      <c r="A536" s="2">
        <v>3817.0</v>
      </c>
      <c r="B536" s="2">
        <v>237.0</v>
      </c>
      <c r="C536" s="2">
        <v>3.0</v>
      </c>
      <c r="D536" s="2" t="s">
        <v>263</v>
      </c>
      <c r="E536" s="2" t="s">
        <v>2384</v>
      </c>
      <c r="H536" s="2">
        <v>1.0</v>
      </c>
      <c r="I536" s="2">
        <v>0.0</v>
      </c>
      <c r="K536" s="8" t="str">
        <f t="shared" si="1"/>
        <v>CALL InsertOrUpdateAtributosProductos ('3817','237','3','MEDIDAS','110 x 110 mm','1','0');</v>
      </c>
    </row>
    <row r="537">
      <c r="A537" s="2">
        <v>4731.0</v>
      </c>
      <c r="B537" s="2">
        <v>238.0</v>
      </c>
      <c r="C537" s="2">
        <v>3.0</v>
      </c>
      <c r="D537" s="2" t="s">
        <v>263</v>
      </c>
      <c r="E537" s="2" t="s">
        <v>2380</v>
      </c>
      <c r="H537" s="2">
        <v>1.0</v>
      </c>
      <c r="I537" s="2">
        <v>0.0</v>
      </c>
      <c r="K537" s="8" t="str">
        <f t="shared" si="1"/>
        <v>CALL InsertOrUpdateAtributosProductos ('4731','238','3','MEDIDAS','110 x 63 mm','1','0');</v>
      </c>
    </row>
    <row r="538">
      <c r="A538" s="2">
        <v>3818.0</v>
      </c>
      <c r="B538" s="2">
        <v>239.0</v>
      </c>
      <c r="C538" s="2">
        <v>3.0</v>
      </c>
      <c r="D538" s="2" t="s">
        <v>263</v>
      </c>
      <c r="E538" s="2" t="s">
        <v>2380</v>
      </c>
      <c r="H538" s="2">
        <v>1.0</v>
      </c>
      <c r="I538" s="2">
        <v>0.0</v>
      </c>
      <c r="K538" s="8" t="str">
        <f t="shared" si="1"/>
        <v>CALL InsertOrUpdateAtributosProductos ('3818','239','3','MEDIDAS','110 x 63 mm','1','0');</v>
      </c>
    </row>
    <row r="539">
      <c r="A539" s="2">
        <v>3819.0</v>
      </c>
      <c r="B539" s="2">
        <v>239.0</v>
      </c>
      <c r="C539" s="2">
        <v>3.0</v>
      </c>
      <c r="D539" s="2" t="s">
        <v>263</v>
      </c>
      <c r="E539" s="2" t="s">
        <v>2384</v>
      </c>
      <c r="H539" s="2">
        <v>1.0</v>
      </c>
      <c r="I539" s="2">
        <v>0.0</v>
      </c>
      <c r="K539" s="8" t="str">
        <f t="shared" si="1"/>
        <v>CALL InsertOrUpdateAtributosProductos ('3819','239','3','MEDIDAS','110 x 110 mm','1','0');</v>
      </c>
    </row>
    <row r="540">
      <c r="A540" s="2">
        <v>3820.0</v>
      </c>
      <c r="B540" s="2">
        <v>240.0</v>
      </c>
      <c r="C540" s="2">
        <v>3.0</v>
      </c>
      <c r="D540" s="2" t="s">
        <v>263</v>
      </c>
      <c r="E540" s="2" t="s">
        <v>2381</v>
      </c>
      <c r="H540" s="2">
        <v>1.0</v>
      </c>
      <c r="I540" s="2">
        <v>0.0</v>
      </c>
      <c r="K540" s="8" t="str">
        <f t="shared" si="1"/>
        <v>CALL InsertOrUpdateAtributosProductos ('3820','240','3','MEDIDAS','40 x 40 mm','1','0');</v>
      </c>
    </row>
    <row r="541">
      <c r="A541" s="2">
        <v>3821.0</v>
      </c>
      <c r="B541" s="2">
        <v>240.0</v>
      </c>
      <c r="C541" s="2">
        <v>3.0</v>
      </c>
      <c r="D541" s="2" t="s">
        <v>263</v>
      </c>
      <c r="E541" s="2" t="s">
        <v>2382</v>
      </c>
      <c r="H541" s="2">
        <v>1.0</v>
      </c>
      <c r="I541" s="2">
        <v>0.0</v>
      </c>
      <c r="K541" s="8" t="str">
        <f t="shared" si="1"/>
        <v>CALL InsertOrUpdateAtributosProductos ('3821','240','3','MEDIDAS','50 x 50 mm','1','0');</v>
      </c>
    </row>
    <row r="542" ht="13.5" customHeight="1">
      <c r="A542" s="2">
        <v>3822.0</v>
      </c>
      <c r="B542" s="2">
        <v>240.0</v>
      </c>
      <c r="C542" s="2">
        <v>3.0</v>
      </c>
      <c r="D542" s="2" t="s">
        <v>263</v>
      </c>
      <c r="E542" s="2" t="s">
        <v>2383</v>
      </c>
      <c r="H542" s="2">
        <v>1.0</v>
      </c>
      <c r="I542" s="2">
        <v>0.0</v>
      </c>
      <c r="K542" s="8" t="str">
        <f t="shared" si="1"/>
        <v>CALL InsertOrUpdateAtributosProductos ('3822','240','3','MEDIDAS','63 x 63 mm','1','0');</v>
      </c>
    </row>
    <row r="543">
      <c r="A543" s="2">
        <v>3823.0</v>
      </c>
      <c r="B543" s="2">
        <v>240.0</v>
      </c>
      <c r="C543" s="2">
        <v>3.0</v>
      </c>
      <c r="D543" s="2" t="s">
        <v>263</v>
      </c>
      <c r="E543" s="2" t="s">
        <v>2384</v>
      </c>
      <c r="H543" s="2">
        <v>1.0</v>
      </c>
      <c r="I543" s="2">
        <v>0.0</v>
      </c>
      <c r="K543" s="8" t="str">
        <f t="shared" si="1"/>
        <v>CALL InsertOrUpdateAtributosProductos ('3823','240','3','MEDIDAS','110 x 110 mm','1','0');</v>
      </c>
    </row>
    <row r="544">
      <c r="A544" s="2">
        <v>3824.0</v>
      </c>
      <c r="B544" s="2">
        <v>241.0</v>
      </c>
      <c r="C544" s="2">
        <v>3.0</v>
      </c>
      <c r="D544" s="2" t="s">
        <v>263</v>
      </c>
      <c r="E544" s="2" t="s">
        <v>2382</v>
      </c>
      <c r="H544" s="2">
        <v>1.0</v>
      </c>
      <c r="I544" s="2">
        <v>0.0</v>
      </c>
      <c r="K544" s="8" t="str">
        <f t="shared" si="1"/>
        <v>CALL InsertOrUpdateAtributosProductos ('3824','241','3','MEDIDAS','50 x 50 mm','1','0');</v>
      </c>
    </row>
    <row r="545" ht="13.5" customHeight="1">
      <c r="A545" s="2">
        <v>3825.0</v>
      </c>
      <c r="B545" s="2">
        <v>241.0</v>
      </c>
      <c r="C545" s="2">
        <v>3.0</v>
      </c>
      <c r="D545" s="2" t="s">
        <v>263</v>
      </c>
      <c r="E545" s="2" t="s">
        <v>2379</v>
      </c>
      <c r="H545" s="2">
        <v>1.0</v>
      </c>
      <c r="I545" s="2">
        <v>0.0</v>
      </c>
      <c r="K545" s="8" t="str">
        <f t="shared" si="1"/>
        <v>CALL InsertOrUpdateAtributosProductos ('3825','241','3','MEDIDAS','110 x 50 mm','1','0');</v>
      </c>
    </row>
    <row r="546">
      <c r="A546" s="2">
        <v>4732.0</v>
      </c>
      <c r="B546" s="2">
        <v>242.0</v>
      </c>
      <c r="C546" s="2">
        <v>3.0</v>
      </c>
      <c r="D546" s="2" t="s">
        <v>263</v>
      </c>
      <c r="E546" s="2" t="s">
        <v>2375</v>
      </c>
      <c r="H546" s="2">
        <v>1.0</v>
      </c>
      <c r="I546" s="2">
        <v>0.0</v>
      </c>
      <c r="K546" s="8" t="str">
        <f t="shared" si="1"/>
        <v>CALL InsertOrUpdateAtributosProductos ('4732','242','3','MEDIDAS','110 mm','1','0');</v>
      </c>
    </row>
    <row r="547">
      <c r="A547" s="2">
        <v>3826.0</v>
      </c>
      <c r="B547" s="2">
        <v>244.0</v>
      </c>
      <c r="C547" s="2">
        <v>3.0</v>
      </c>
      <c r="D547" s="2" t="s">
        <v>263</v>
      </c>
      <c r="E547" s="2" t="s">
        <v>2305</v>
      </c>
      <c r="H547" s="2">
        <v>1.0</v>
      </c>
      <c r="I547" s="2">
        <v>0.0</v>
      </c>
      <c r="K547" s="8" t="str">
        <f t="shared" si="1"/>
        <v>CALL InsertOrUpdateAtributosProductos ('3826','244','3','MEDIDAS','40 mm','1','0');</v>
      </c>
    </row>
    <row r="548">
      <c r="A548" s="2">
        <v>3827.0</v>
      </c>
      <c r="B548" s="2">
        <v>244.0</v>
      </c>
      <c r="C548" s="2">
        <v>3.0</v>
      </c>
      <c r="D548" s="2" t="s">
        <v>263</v>
      </c>
      <c r="E548" s="2" t="s">
        <v>2307</v>
      </c>
      <c r="H548" s="2">
        <v>1.0</v>
      </c>
      <c r="I548" s="2">
        <v>0.0</v>
      </c>
      <c r="K548" s="8" t="str">
        <f t="shared" si="1"/>
        <v>CALL InsertOrUpdateAtributosProductos ('3827','244','3','MEDIDAS','63 mm','1','0');</v>
      </c>
    </row>
    <row r="549">
      <c r="A549" s="2">
        <v>3828.0</v>
      </c>
      <c r="B549" s="2">
        <v>245.0</v>
      </c>
      <c r="C549" s="2">
        <v>3.0</v>
      </c>
      <c r="D549" s="2" t="s">
        <v>263</v>
      </c>
      <c r="E549" s="2" t="s">
        <v>2385</v>
      </c>
      <c r="H549" s="2">
        <v>1.0</v>
      </c>
      <c r="I549" s="2">
        <v>0.0</v>
      </c>
      <c r="K549" s="8" t="str">
        <f t="shared" si="1"/>
        <v>CALL InsertOrUpdateAtributosProductos ('3828','245','3','MEDIDAS','110 x 63 x 3x40 BAJA','1','0');</v>
      </c>
    </row>
    <row r="550">
      <c r="A550" s="2">
        <v>3829.0</v>
      </c>
      <c r="B550" s="2">
        <v>245.0</v>
      </c>
      <c r="C550" s="2">
        <v>3.0</v>
      </c>
      <c r="D550" s="2" t="s">
        <v>263</v>
      </c>
      <c r="E550" s="2" t="s">
        <v>2386</v>
      </c>
      <c r="H550" s="2">
        <v>1.0</v>
      </c>
      <c r="I550" s="2">
        <v>0.0</v>
      </c>
      <c r="K550" s="8" t="str">
        <f t="shared" si="1"/>
        <v>CALL InsertOrUpdateAtributosProductos ('3829','245','3','MEDIDAS','110 x 63 x 5x40','1','0');</v>
      </c>
    </row>
    <row r="551">
      <c r="A551" s="2">
        <v>3830.0</v>
      </c>
      <c r="B551" s="2">
        <v>246.0</v>
      </c>
      <c r="C551" s="2">
        <v>4.0</v>
      </c>
      <c r="D551" s="2" t="s">
        <v>843</v>
      </c>
      <c r="E551" s="2" t="s">
        <v>2387</v>
      </c>
      <c r="H551" s="2">
        <v>1.0</v>
      </c>
      <c r="I551" s="2">
        <v>0.0</v>
      </c>
      <c r="K551" s="8" t="str">
        <f t="shared" si="1"/>
        <v>CALL InsertOrUpdateAtributosProductos ('3830','246','4','VOLTAJE','800 watts','1','0');</v>
      </c>
    </row>
    <row r="552">
      <c r="A552" s="2">
        <v>3831.0</v>
      </c>
      <c r="B552" s="2">
        <v>246.0</v>
      </c>
      <c r="C552" s="2">
        <v>4.0</v>
      </c>
      <c r="D552" s="2" t="s">
        <v>843</v>
      </c>
      <c r="E552" s="2" t="s">
        <v>2388</v>
      </c>
      <c r="H552" s="2">
        <v>1.0</v>
      </c>
      <c r="I552" s="2">
        <v>0.0</v>
      </c>
      <c r="K552" s="8" t="str">
        <f t="shared" si="1"/>
        <v>CALL InsertOrUpdateAtributosProductos ('3831','246','4','VOLTAJE','1200 watts','1','0');</v>
      </c>
    </row>
    <row r="553">
      <c r="A553" s="2">
        <v>3832.0</v>
      </c>
      <c r="B553" s="2">
        <v>246.0</v>
      </c>
      <c r="C553" s="2">
        <v>4.0</v>
      </c>
      <c r="D553" s="2" t="s">
        <v>843</v>
      </c>
      <c r="E553" s="2" t="s">
        <v>2389</v>
      </c>
      <c r="H553" s="2">
        <v>1.0</v>
      </c>
      <c r="I553" s="2">
        <v>0.0</v>
      </c>
      <c r="K553" s="8" t="str">
        <f t="shared" si="1"/>
        <v>CALL InsertOrUpdateAtributosProductos ('3832','246','4','VOLTAJE','1500 watts','1','0');</v>
      </c>
    </row>
    <row r="554">
      <c r="A554" s="2">
        <v>3833.0</v>
      </c>
      <c r="B554" s="2">
        <v>246.0</v>
      </c>
      <c r="C554" s="2">
        <v>4.0</v>
      </c>
      <c r="D554" s="2" t="s">
        <v>843</v>
      </c>
      <c r="E554" s="2" t="s">
        <v>2390</v>
      </c>
      <c r="H554" s="2">
        <v>1.0</v>
      </c>
      <c r="I554" s="2">
        <v>0.0</v>
      </c>
      <c r="K554" s="8" t="str">
        <f t="shared" si="1"/>
        <v>CALL InsertOrUpdateAtributosProductos ('3833','246','4','VOLTAJE','1600 watts','1','0');</v>
      </c>
    </row>
    <row r="555">
      <c r="A555" s="2">
        <v>3834.0</v>
      </c>
      <c r="B555" s="2">
        <v>248.0</v>
      </c>
      <c r="C555" s="2">
        <v>3.0</v>
      </c>
      <c r="D555" s="2" t="s">
        <v>263</v>
      </c>
      <c r="E555" s="2" t="s">
        <v>2391</v>
      </c>
      <c r="H555" s="2">
        <v>1.0</v>
      </c>
      <c r="I555" s="2">
        <v>0.0</v>
      </c>
      <c r="K555" s="8" t="str">
        <f t="shared" si="1"/>
        <v>CALL InsertOrUpdateAtributosProductos ('3834','248','3','MEDIDAS','500 gramos','1','0');</v>
      </c>
    </row>
    <row r="556">
      <c r="A556" s="2">
        <v>3835.0</v>
      </c>
      <c r="B556" s="2">
        <v>248.0</v>
      </c>
      <c r="C556" s="2">
        <v>3.0</v>
      </c>
      <c r="D556" s="2" t="s">
        <v>263</v>
      </c>
      <c r="E556" s="2" t="s">
        <v>2296</v>
      </c>
      <c r="H556" s="2">
        <v>1.0</v>
      </c>
      <c r="I556" s="2">
        <v>0.0</v>
      </c>
      <c r="K556" s="8" t="str">
        <f t="shared" si="1"/>
        <v>CALL InsertOrUpdateAtributosProductos ('3835','248','3','MEDIDAS','1 kilo','1','0');</v>
      </c>
    </row>
    <row r="557">
      <c r="A557" s="2">
        <v>3836.0</v>
      </c>
      <c r="B557" s="2">
        <v>249.0</v>
      </c>
      <c r="C557" s="2">
        <v>3.0</v>
      </c>
      <c r="D557" s="2" t="s">
        <v>263</v>
      </c>
      <c r="E557" s="2" t="s">
        <v>2392</v>
      </c>
      <c r="H557" s="2">
        <v>1.0</v>
      </c>
      <c r="I557" s="2">
        <v>0.0</v>
      </c>
      <c r="K557" s="8" t="str">
        <f t="shared" si="1"/>
        <v>CALL InsertOrUpdateAtributosProductos ('3836','249','3','MEDIDAS','3/4" por 10 mts','1','0');</v>
      </c>
    </row>
    <row r="558">
      <c r="A558" s="2">
        <v>3837.0</v>
      </c>
      <c r="B558" s="2">
        <v>249.0</v>
      </c>
      <c r="C558" s="2">
        <v>3.0</v>
      </c>
      <c r="D558" s="2" t="s">
        <v>263</v>
      </c>
      <c r="E558" s="2" t="s">
        <v>2393</v>
      </c>
      <c r="H558" s="2">
        <v>1.0</v>
      </c>
      <c r="I558" s="2">
        <v>0.0</v>
      </c>
      <c r="K558" s="8" t="str">
        <f t="shared" si="1"/>
        <v>CALL InsertOrUpdateAtributosProductos ('3837','249','3','MEDIDAS','3/4" por 20 mts','1','0');</v>
      </c>
    </row>
    <row r="559">
      <c r="A559" s="2">
        <v>3838.0</v>
      </c>
      <c r="B559" s="2">
        <v>249.0</v>
      </c>
      <c r="C559" s="2">
        <v>3.0</v>
      </c>
      <c r="D559" s="2" t="s">
        <v>263</v>
      </c>
      <c r="E559" s="2" t="s">
        <v>2394</v>
      </c>
      <c r="H559" s="2">
        <v>1.0</v>
      </c>
      <c r="I559" s="2">
        <v>0.0</v>
      </c>
      <c r="K559" s="8" t="str">
        <f t="shared" si="1"/>
        <v>CALL InsertOrUpdateAtributosProductos ('3838','249','3','MEDIDAS','3/4" por 40 mts','1','0');</v>
      </c>
    </row>
    <row r="560">
      <c r="A560" s="2">
        <v>3839.0</v>
      </c>
      <c r="B560" s="2">
        <v>249.0</v>
      </c>
      <c r="C560" s="2">
        <v>3.0</v>
      </c>
      <c r="D560" s="2" t="s">
        <v>263</v>
      </c>
      <c r="E560" s="2" t="s">
        <v>2395</v>
      </c>
      <c r="H560" s="2">
        <v>1.0</v>
      </c>
      <c r="I560" s="2">
        <v>0.0</v>
      </c>
      <c r="K560" s="8" t="str">
        <f t="shared" si="1"/>
        <v>CALL InsertOrUpdateAtributosProductos ('3839','249','3','MEDIDAS','1/2" por 10 mts','1','0');</v>
      </c>
    </row>
    <row r="561">
      <c r="A561" s="2">
        <v>3840.0</v>
      </c>
      <c r="B561" s="2">
        <v>249.0</v>
      </c>
      <c r="C561" s="2">
        <v>3.0</v>
      </c>
      <c r="D561" s="2" t="s">
        <v>263</v>
      </c>
      <c r="E561" s="2" t="s">
        <v>2396</v>
      </c>
      <c r="H561" s="2">
        <v>1.0</v>
      </c>
      <c r="I561" s="2">
        <v>0.0</v>
      </c>
      <c r="K561" s="8" t="str">
        <f t="shared" si="1"/>
        <v>CALL InsertOrUpdateAtributosProductos ('3840','249','3','MEDIDAS','1/2" por 20 mts','1','0');</v>
      </c>
    </row>
    <row r="562">
      <c r="A562" s="2">
        <v>3841.0</v>
      </c>
      <c r="B562" s="2">
        <v>450.0</v>
      </c>
      <c r="C562" s="2">
        <v>8.0</v>
      </c>
      <c r="D562" s="2" t="s">
        <v>581</v>
      </c>
      <c r="E562" s="2" t="s">
        <v>2397</v>
      </c>
      <c r="H562" s="2">
        <v>1.0</v>
      </c>
      <c r="I562" s="2">
        <v>0.0</v>
      </c>
      <c r="K562" s="8" t="str">
        <f t="shared" si="1"/>
        <v>CALL InsertOrUpdateAtributosProductos ('3841','450','8','COLOR','Dorado','1','0');</v>
      </c>
    </row>
    <row r="563" ht="13.5" customHeight="1">
      <c r="A563" s="2">
        <v>3842.0</v>
      </c>
      <c r="B563" s="2">
        <v>450.0</v>
      </c>
      <c r="C563" s="2">
        <v>8.0</v>
      </c>
      <c r="D563" s="2" t="s">
        <v>581</v>
      </c>
      <c r="E563" s="2" t="s">
        <v>2221</v>
      </c>
      <c r="H563" s="2">
        <v>2.0</v>
      </c>
      <c r="I563" s="2">
        <v>0.0</v>
      </c>
      <c r="K563" s="8" t="str">
        <f t="shared" si="1"/>
        <v>CALL InsertOrUpdateAtributosProductos ('3842','450','8','COLOR','Negro','2','0');</v>
      </c>
    </row>
    <row r="564">
      <c r="A564" s="2">
        <v>3843.0</v>
      </c>
      <c r="B564" s="2">
        <v>450.0</v>
      </c>
      <c r="C564" s="2">
        <v>8.0</v>
      </c>
      <c r="D564" s="2" t="s">
        <v>581</v>
      </c>
      <c r="E564" s="2" t="s">
        <v>2231</v>
      </c>
      <c r="H564" s="2">
        <v>3.0</v>
      </c>
      <c r="I564" s="2">
        <v>0.0</v>
      </c>
      <c r="K564" s="8" t="str">
        <f t="shared" si="1"/>
        <v>CALL InsertOrUpdateAtributosProductos ('3843','450','8','COLOR','Rojo','3','0');</v>
      </c>
    </row>
    <row r="565">
      <c r="A565" s="2">
        <v>3844.0</v>
      </c>
      <c r="B565" s="2">
        <v>450.0</v>
      </c>
      <c r="C565" s="2">
        <v>8.0</v>
      </c>
      <c r="D565" s="2" t="s">
        <v>581</v>
      </c>
      <c r="E565" s="2" t="s">
        <v>2398</v>
      </c>
      <c r="H565" s="2">
        <v>4.0</v>
      </c>
      <c r="I565" s="2">
        <v>0.0</v>
      </c>
      <c r="K565" s="8" t="str">
        <f t="shared" si="1"/>
        <v>CALL InsertOrUpdateAtributosProductos ('3844','450','8','COLOR','Verde','4','0');</v>
      </c>
    </row>
    <row r="566" ht="13.5" customHeight="1">
      <c r="A566" s="2">
        <v>3845.0</v>
      </c>
      <c r="B566" s="2">
        <v>451.0</v>
      </c>
      <c r="C566" s="2">
        <v>3.0</v>
      </c>
      <c r="D566" s="2" t="s">
        <v>263</v>
      </c>
      <c r="E566" s="2" t="s">
        <v>2399</v>
      </c>
      <c r="H566" s="2">
        <v>1.0</v>
      </c>
      <c r="I566" s="2">
        <v>0.0</v>
      </c>
      <c r="K566" s="8" t="str">
        <f t="shared" si="1"/>
        <v>CALL InsertOrUpdateAtributosProductos ('3845','451','3','MEDIDAS','F50 13x10x4cm 480 cc','1','0');</v>
      </c>
    </row>
    <row r="567">
      <c r="A567" s="2">
        <v>3846.0</v>
      </c>
      <c r="B567" s="2">
        <v>451.0</v>
      </c>
      <c r="C567" s="2">
        <v>3.0</v>
      </c>
      <c r="D567" s="2" t="s">
        <v>263</v>
      </c>
      <c r="E567" s="2" t="s">
        <v>2400</v>
      </c>
      <c r="H567" s="2">
        <v>2.0</v>
      </c>
      <c r="I567" s="2">
        <v>0.0</v>
      </c>
      <c r="K567" s="8" t="str">
        <f t="shared" si="1"/>
        <v>CALL InsertOrUpdateAtributosProductos ('3846','451','3','MEDIDAS','F75 16x12x4cm 700 cc','2','0');</v>
      </c>
    </row>
    <row r="568">
      <c r="A568" s="2">
        <v>3847.0</v>
      </c>
      <c r="B568" s="2">
        <v>451.0</v>
      </c>
      <c r="C568" s="2">
        <v>3.0</v>
      </c>
      <c r="D568" s="2" t="s">
        <v>263</v>
      </c>
      <c r="E568" s="2" t="s">
        <v>2401</v>
      </c>
      <c r="H568" s="2">
        <v>3.0</v>
      </c>
      <c r="I568" s="2">
        <v>0.0</v>
      </c>
      <c r="K568" s="8" t="str">
        <f t="shared" si="1"/>
        <v>CALL InsertOrUpdateAtributosProductos ('3847','451','3','MEDIDAS','F100 21x14x4cm 1000 cc','3','0');</v>
      </c>
    </row>
    <row r="569">
      <c r="A569" s="2">
        <v>3848.0</v>
      </c>
      <c r="B569" s="2">
        <v>451.0</v>
      </c>
      <c r="C569" s="2">
        <v>3.0</v>
      </c>
      <c r="D569" s="2" t="s">
        <v>263</v>
      </c>
      <c r="E569" s="2" t="s">
        <v>2402</v>
      </c>
      <c r="H569" s="2">
        <v>4.0</v>
      </c>
      <c r="I569" s="2">
        <v>0.0</v>
      </c>
      <c r="K569" s="8" t="str">
        <f t="shared" si="1"/>
        <v>CALL InsertOrUpdateAtributosProductos ('3848','451','3','MEDIDAS','F200 29x19x4cm 2000 cc','4','0');</v>
      </c>
    </row>
    <row r="570">
      <c r="A570" s="2">
        <v>3849.0</v>
      </c>
      <c r="B570" s="2">
        <v>451.0</v>
      </c>
      <c r="C570" s="2">
        <v>3.0</v>
      </c>
      <c r="D570" s="2" t="s">
        <v>263</v>
      </c>
      <c r="E570" s="2" t="s">
        <v>2403</v>
      </c>
      <c r="H570" s="2">
        <v>5.0</v>
      </c>
      <c r="I570" s="2">
        <v>0.0</v>
      </c>
      <c r="K570" s="8" t="str">
        <f t="shared" si="1"/>
        <v>CALL InsertOrUpdateAtributosProductos ('3849','451','3','MEDIDAS','C200 28x14x5cm 2100 cc','5','0');</v>
      </c>
    </row>
    <row r="571">
      <c r="A571" s="2">
        <v>3850.0</v>
      </c>
      <c r="B571" s="2">
        <v>452.0</v>
      </c>
      <c r="C571" s="2">
        <v>3.0</v>
      </c>
      <c r="D571" s="2" t="s">
        <v>263</v>
      </c>
      <c r="E571" s="2" t="s">
        <v>2399</v>
      </c>
      <c r="H571" s="2">
        <v>1.0</v>
      </c>
      <c r="I571" s="2">
        <v>0.0</v>
      </c>
      <c r="K571" s="8" t="str">
        <f t="shared" si="1"/>
        <v>CALL InsertOrUpdateAtributosProductos ('3850','452','3','MEDIDAS','F50 13x10x4cm 480 cc','1','0');</v>
      </c>
    </row>
    <row r="572">
      <c r="A572" s="2">
        <v>3851.0</v>
      </c>
      <c r="B572" s="2">
        <v>452.0</v>
      </c>
      <c r="C572" s="2">
        <v>3.0</v>
      </c>
      <c r="D572" s="2" t="s">
        <v>263</v>
      </c>
      <c r="E572" s="2" t="s">
        <v>2400</v>
      </c>
      <c r="H572" s="2">
        <v>2.0</v>
      </c>
      <c r="I572" s="2">
        <v>0.0</v>
      </c>
      <c r="K572" s="8" t="str">
        <f t="shared" si="1"/>
        <v>CALL InsertOrUpdateAtributosProductos ('3851','452','3','MEDIDAS','F75 16x12x4cm 700 cc','2','0');</v>
      </c>
    </row>
    <row r="573">
      <c r="A573" s="2">
        <v>3852.0</v>
      </c>
      <c r="B573" s="2">
        <v>452.0</v>
      </c>
      <c r="C573" s="2">
        <v>3.0</v>
      </c>
      <c r="D573" s="2" t="s">
        <v>263</v>
      </c>
      <c r="E573" s="2" t="s">
        <v>2401</v>
      </c>
      <c r="H573" s="2">
        <v>3.0</v>
      </c>
      <c r="I573" s="2">
        <v>0.0</v>
      </c>
      <c r="K573" s="8" t="str">
        <f t="shared" si="1"/>
        <v>CALL InsertOrUpdateAtributosProductos ('3852','452','3','MEDIDAS','F100 21x14x4cm 1000 cc','3','0');</v>
      </c>
    </row>
    <row r="574">
      <c r="A574" s="2">
        <v>3853.0</v>
      </c>
      <c r="B574" s="2">
        <v>452.0</v>
      </c>
      <c r="C574" s="2">
        <v>3.0</v>
      </c>
      <c r="D574" s="2" t="s">
        <v>263</v>
      </c>
      <c r="E574" s="2" t="s">
        <v>2402</v>
      </c>
      <c r="H574" s="2">
        <v>4.0</v>
      </c>
      <c r="I574" s="2">
        <v>0.0</v>
      </c>
      <c r="K574" s="8" t="str">
        <f t="shared" si="1"/>
        <v>CALL InsertOrUpdateAtributosProductos ('3853','452','3','MEDIDAS','F200 29x19x4cm 2000 cc','4','0');</v>
      </c>
    </row>
    <row r="575">
      <c r="A575" s="2">
        <v>3854.0</v>
      </c>
      <c r="B575" s="2">
        <v>452.0</v>
      </c>
      <c r="C575" s="2">
        <v>3.0</v>
      </c>
      <c r="D575" s="2" t="s">
        <v>263</v>
      </c>
      <c r="E575" s="2" t="s">
        <v>2403</v>
      </c>
      <c r="H575" s="2">
        <v>5.0</v>
      </c>
      <c r="I575" s="2">
        <v>0.0</v>
      </c>
      <c r="K575" s="8" t="str">
        <f t="shared" si="1"/>
        <v>CALL InsertOrUpdateAtributosProductos ('3854','452','3','MEDIDAS','C200 28x14x5cm 2100 cc','5','0');</v>
      </c>
    </row>
    <row r="576">
      <c r="A576" s="2">
        <v>3855.0</v>
      </c>
      <c r="B576" s="2">
        <v>453.0</v>
      </c>
      <c r="C576" s="2">
        <v>3.0</v>
      </c>
      <c r="D576" s="2" t="s">
        <v>263</v>
      </c>
      <c r="E576" s="2" t="s">
        <v>2404</v>
      </c>
      <c r="H576" s="2">
        <v>1.0</v>
      </c>
      <c r="I576" s="2">
        <v>0.0</v>
      </c>
      <c r="K576" s="8" t="str">
        <f t="shared" si="1"/>
        <v>CALL InsertOrUpdateAtributosProductos ('3855','453','3','MEDIDAS','F50 13x10cm (480 cc)','1','0');</v>
      </c>
    </row>
    <row r="577">
      <c r="A577" s="2">
        <v>3856.0</v>
      </c>
      <c r="B577" s="2">
        <v>453.0</v>
      </c>
      <c r="C577" s="2">
        <v>3.0</v>
      </c>
      <c r="D577" s="2" t="s">
        <v>263</v>
      </c>
      <c r="E577" s="2" t="s">
        <v>2405</v>
      </c>
      <c r="H577" s="2">
        <v>2.0</v>
      </c>
      <c r="I577" s="2">
        <v>0.0</v>
      </c>
      <c r="K577" s="8" t="str">
        <f t="shared" si="1"/>
        <v>CALL InsertOrUpdateAtributosProductos ('3856','453','3','MEDIDAS','F75 16x12cm (700 cc)','2','0');</v>
      </c>
    </row>
    <row r="578">
      <c r="A578" s="2">
        <v>3857.0</v>
      </c>
      <c r="B578" s="2">
        <v>453.0</v>
      </c>
      <c r="C578" s="2">
        <v>3.0</v>
      </c>
      <c r="D578" s="2" t="s">
        <v>263</v>
      </c>
      <c r="E578" s="2" t="s">
        <v>2406</v>
      </c>
      <c r="H578" s="2">
        <v>3.0</v>
      </c>
      <c r="I578" s="2">
        <v>0.0</v>
      </c>
      <c r="K578" s="8" t="str">
        <f t="shared" si="1"/>
        <v>CALL InsertOrUpdateAtributosProductos ('3857','453','3','MEDIDAS','F100 21x14cm (1000 cc)','3','0');</v>
      </c>
    </row>
    <row r="579">
      <c r="A579" s="2">
        <v>3858.0</v>
      </c>
      <c r="B579" s="2">
        <v>453.0</v>
      </c>
      <c r="C579" s="2">
        <v>3.0</v>
      </c>
      <c r="D579" s="2" t="s">
        <v>263</v>
      </c>
      <c r="E579" s="2" t="s">
        <v>2407</v>
      </c>
      <c r="H579" s="2">
        <v>4.0</v>
      </c>
      <c r="I579" s="2">
        <v>0.0</v>
      </c>
      <c r="K579" s="8" t="str">
        <f t="shared" si="1"/>
        <v>CALL InsertOrUpdateAtributosProductos ('3858','453','3','MEDIDAS','F200 29x19cm (2000 cc)','4','0');</v>
      </c>
    </row>
    <row r="580">
      <c r="A580" s="2">
        <v>3859.0</v>
      </c>
      <c r="B580" s="2">
        <v>453.0</v>
      </c>
      <c r="C580" s="2">
        <v>3.0</v>
      </c>
      <c r="D580" s="2" t="s">
        <v>263</v>
      </c>
      <c r="E580" s="2" t="s">
        <v>2408</v>
      </c>
      <c r="H580" s="2">
        <v>5.0</v>
      </c>
      <c r="I580" s="2">
        <v>0.0</v>
      </c>
      <c r="K580" s="8" t="str">
        <f t="shared" si="1"/>
        <v>CALL InsertOrUpdateAtributosProductos ('3859','453','3','MEDIDAS','C200 28x14cm (2100 cc)','5','0');</v>
      </c>
    </row>
    <row r="581">
      <c r="A581" s="2">
        <v>3860.0</v>
      </c>
      <c r="B581" s="2">
        <v>454.0</v>
      </c>
      <c r="C581" s="2">
        <v>3.0</v>
      </c>
      <c r="D581" s="2" t="s">
        <v>263</v>
      </c>
      <c r="E581" s="2" t="s">
        <v>2409</v>
      </c>
      <c r="H581" s="2">
        <v>1.0</v>
      </c>
      <c r="I581" s="2">
        <v>0.0</v>
      </c>
      <c r="K581" s="8" t="str">
        <f t="shared" si="1"/>
        <v>CALL InsertOrUpdateAtributosProductos ('3860','454','3','MEDIDAS','14 cm','1','0');</v>
      </c>
    </row>
    <row r="582">
      <c r="A582" s="2">
        <v>3861.0</v>
      </c>
      <c r="B582" s="2">
        <v>455.0</v>
      </c>
      <c r="C582" s="2">
        <v>3.0</v>
      </c>
      <c r="D582" s="2" t="s">
        <v>263</v>
      </c>
      <c r="E582" s="2" t="s">
        <v>2266</v>
      </c>
      <c r="H582" s="2">
        <v>1.0</v>
      </c>
      <c r="I582" s="2">
        <v>0.0</v>
      </c>
      <c r="K582" s="8" t="str">
        <f t="shared" si="1"/>
        <v>CALL InsertOrUpdateAtributosProductos ('3861','455','3','MEDIDAS','17 cm','1','0');</v>
      </c>
    </row>
    <row r="583">
      <c r="A583" s="2">
        <v>3862.0</v>
      </c>
      <c r="B583" s="2">
        <v>455.0</v>
      </c>
      <c r="C583" s="2">
        <v>3.0</v>
      </c>
      <c r="D583" s="2" t="s">
        <v>263</v>
      </c>
      <c r="E583" s="2" t="s">
        <v>2410</v>
      </c>
      <c r="F583" s="5"/>
      <c r="H583" s="2">
        <v>2.0</v>
      </c>
      <c r="I583" s="2">
        <v>0.0</v>
      </c>
      <c r="K583" s="8" t="str">
        <f t="shared" si="1"/>
        <v>CALL InsertOrUpdateAtributosProductos ('3862','455','3','MEDIDAS','20 cm','2','0');</v>
      </c>
    </row>
    <row r="584">
      <c r="A584" s="2">
        <v>3863.0</v>
      </c>
      <c r="B584" s="2">
        <v>455.0</v>
      </c>
      <c r="C584" s="2">
        <v>3.0</v>
      </c>
      <c r="D584" s="2" t="s">
        <v>263</v>
      </c>
      <c r="E584" s="2" t="s">
        <v>2411</v>
      </c>
      <c r="H584" s="2">
        <v>3.0</v>
      </c>
      <c r="I584" s="2">
        <v>0.0</v>
      </c>
      <c r="K584" s="8" t="str">
        <f t="shared" si="1"/>
        <v>CALL InsertOrUpdateAtributosProductos ('3863','455','3','MEDIDAS','23 cm','3','0');</v>
      </c>
    </row>
    <row r="585">
      <c r="A585" s="2">
        <v>3864.0</v>
      </c>
      <c r="B585" s="2">
        <v>455.0</v>
      </c>
      <c r="C585" s="2">
        <v>3.0</v>
      </c>
      <c r="D585" s="2" t="s">
        <v>263</v>
      </c>
      <c r="E585" s="2" t="s">
        <v>2412</v>
      </c>
      <c r="H585" s="2">
        <v>4.0</v>
      </c>
      <c r="I585" s="2">
        <v>0.0</v>
      </c>
      <c r="K585" s="8" t="str">
        <f t="shared" si="1"/>
        <v>CALL InsertOrUpdateAtributosProductos ('3864','455','3','MEDIDAS','26 cm','4','0');</v>
      </c>
    </row>
    <row r="586">
      <c r="A586" s="2">
        <v>3865.0</v>
      </c>
      <c r="B586" s="2">
        <v>455.0</v>
      </c>
      <c r="C586" s="2">
        <v>3.0</v>
      </c>
      <c r="D586" s="2" t="s">
        <v>263</v>
      </c>
      <c r="E586" s="2" t="s">
        <v>2413</v>
      </c>
      <c r="H586" s="2">
        <v>5.0</v>
      </c>
      <c r="I586" s="2">
        <v>0.0</v>
      </c>
      <c r="K586" s="8" t="str">
        <f t="shared" si="1"/>
        <v>CALL InsertOrUpdateAtributosProductos ('3865','455','3','MEDIDAS','28 cm','5','0');</v>
      </c>
    </row>
    <row r="587">
      <c r="A587" s="2">
        <v>3866.0</v>
      </c>
      <c r="B587" s="2">
        <v>455.0</v>
      </c>
      <c r="C587" s="2">
        <v>3.0</v>
      </c>
      <c r="D587" s="2" t="s">
        <v>263</v>
      </c>
      <c r="E587" s="2" t="s">
        <v>2414</v>
      </c>
      <c r="H587" s="2">
        <v>6.0</v>
      </c>
      <c r="I587" s="2">
        <v>0.0</v>
      </c>
      <c r="K587" s="8" t="str">
        <f t="shared" si="1"/>
        <v>CALL InsertOrUpdateAtributosProductos ('3866','455','3','MEDIDAS','32 cm','6','0');</v>
      </c>
    </row>
    <row r="588">
      <c r="A588" s="2">
        <v>3867.0</v>
      </c>
      <c r="B588" s="2">
        <v>455.0</v>
      </c>
      <c r="C588" s="2">
        <v>3.0</v>
      </c>
      <c r="D588" s="2" t="s">
        <v>263</v>
      </c>
      <c r="E588" s="2" t="s">
        <v>2415</v>
      </c>
      <c r="H588" s="2">
        <v>7.0</v>
      </c>
      <c r="I588" s="2">
        <v>0.0</v>
      </c>
      <c r="K588" s="8" t="str">
        <f t="shared" si="1"/>
        <v>CALL InsertOrUpdateAtributosProductos ('3867','455','3','MEDIDAS','23x7x5 cm (1/2 kg)','7','0');</v>
      </c>
    </row>
    <row r="589">
      <c r="A589" s="2">
        <v>3868.0</v>
      </c>
      <c r="B589" s="2">
        <v>456.0</v>
      </c>
      <c r="C589" s="2">
        <v>3.0</v>
      </c>
      <c r="D589" s="2" t="s">
        <v>263</v>
      </c>
      <c r="E589" s="2" t="s">
        <v>2416</v>
      </c>
      <c r="H589" s="2">
        <v>1.0</v>
      </c>
      <c r="I589" s="2">
        <v>0.0</v>
      </c>
      <c r="K589" s="8" t="str">
        <f t="shared" si="1"/>
        <v>CALL InsertOrUpdateAtributosProductos ('3868','456','3','MEDIDAS','1 kg 22x25x5 cm','1','0');</v>
      </c>
    </row>
    <row r="590">
      <c r="A590" s="2">
        <v>3869.0</v>
      </c>
      <c r="B590" s="2">
        <v>456.0</v>
      </c>
      <c r="C590" s="2">
        <v>3.0</v>
      </c>
      <c r="D590" s="2" t="s">
        <v>263</v>
      </c>
      <c r="E590" s="2" t="s">
        <v>2417</v>
      </c>
      <c r="H590" s="2">
        <v>2.0</v>
      </c>
      <c r="I590" s="2">
        <v>0.0</v>
      </c>
      <c r="K590" s="8" t="str">
        <f t="shared" si="1"/>
        <v>CALL InsertOrUpdateAtributosProductos ('3869','456','3','MEDIDAS','100 cc','2','0');</v>
      </c>
    </row>
    <row r="591">
      <c r="A591" s="2">
        <v>3870.0</v>
      </c>
      <c r="B591" s="2">
        <v>457.0</v>
      </c>
      <c r="C591" s="2">
        <v>3.0</v>
      </c>
      <c r="D591" s="2" t="s">
        <v>263</v>
      </c>
      <c r="E591" s="2" t="s">
        <v>2418</v>
      </c>
      <c r="H591" s="2">
        <v>1.0</v>
      </c>
      <c r="I591" s="2">
        <v>0.0</v>
      </c>
      <c r="K591" s="8" t="str">
        <f t="shared" si="1"/>
        <v>CALL InsertOrUpdateAtributosProductos ('3870','457','3','MEDIDAS','135 cc','1','0');</v>
      </c>
    </row>
    <row r="592">
      <c r="A592" s="2">
        <v>3871.0</v>
      </c>
      <c r="B592" s="2">
        <v>457.0</v>
      </c>
      <c r="C592" s="2">
        <v>3.0</v>
      </c>
      <c r="D592" s="2" t="s">
        <v>263</v>
      </c>
      <c r="E592" s="2" t="s">
        <v>2419</v>
      </c>
      <c r="H592" s="2">
        <v>2.0</v>
      </c>
      <c r="I592" s="2">
        <v>0.0</v>
      </c>
      <c r="K592" s="8" t="str">
        <f t="shared" si="1"/>
        <v>CALL InsertOrUpdateAtributosProductos ('3871','457','3','MEDIDAS','230 cc','2','0');</v>
      </c>
    </row>
    <row r="593">
      <c r="A593" s="2">
        <v>3872.0</v>
      </c>
      <c r="B593" s="2">
        <v>457.0</v>
      </c>
      <c r="C593" s="2">
        <v>3.0</v>
      </c>
      <c r="D593" s="2" t="s">
        <v>263</v>
      </c>
      <c r="E593" s="2" t="s">
        <v>2419</v>
      </c>
      <c r="H593" s="2">
        <v>3.0</v>
      </c>
      <c r="I593" s="2">
        <v>0.0</v>
      </c>
      <c r="K593" s="8" t="str">
        <f t="shared" si="1"/>
        <v>CALL InsertOrUpdateAtributosProductos ('3872','457','3','MEDIDAS','230 cc','3','0');</v>
      </c>
    </row>
    <row r="594">
      <c r="A594" s="2">
        <v>3873.0</v>
      </c>
      <c r="B594" s="2">
        <v>460.0</v>
      </c>
      <c r="C594" s="2">
        <v>13.0</v>
      </c>
      <c r="D594" s="2" t="s">
        <v>1028</v>
      </c>
      <c r="E594" s="2" t="s">
        <v>2420</v>
      </c>
      <c r="H594" s="2">
        <v>1.0</v>
      </c>
      <c r="I594" s="2">
        <v>0.0</v>
      </c>
      <c r="K594" s="8" t="str">
        <f t="shared" si="1"/>
        <v>CALL InsertOrUpdateAtributosProductos ('3873','460','13','CALIDAD','38 cm por 1 kg','1','0');</v>
      </c>
    </row>
    <row r="595">
      <c r="A595" s="2">
        <v>3874.0</v>
      </c>
      <c r="B595" s="2">
        <v>460.0</v>
      </c>
      <c r="C595" s="2">
        <v>13.0</v>
      </c>
      <c r="D595" s="2" t="s">
        <v>1028</v>
      </c>
      <c r="E595" s="2" t="s">
        <v>2421</v>
      </c>
      <c r="H595" s="2">
        <v>2.0</v>
      </c>
      <c r="I595" s="2">
        <v>0.0</v>
      </c>
      <c r="K595" s="8" t="str">
        <f t="shared" si="1"/>
        <v>CALL InsertOrUpdateAtributosProductos ('3874','460','13','CALIDAD','38 cm por 1 kg premium','2','0');</v>
      </c>
    </row>
    <row r="596">
      <c r="A596" s="2">
        <v>3875.0</v>
      </c>
      <c r="B596" s="2">
        <v>461.0</v>
      </c>
      <c r="C596" s="2">
        <v>3.0</v>
      </c>
      <c r="D596" s="2" t="s">
        <v>263</v>
      </c>
      <c r="E596" s="2" t="s">
        <v>2422</v>
      </c>
      <c r="H596" s="2">
        <v>1.0</v>
      </c>
      <c r="I596" s="2">
        <v>0.0</v>
      </c>
      <c r="K596" s="8" t="str">
        <f t="shared" si="1"/>
        <v>CALL InsertOrUpdateAtributosProductos ('3875','461','3','MEDIDAS','15,5 x 13 cm','1','0');</v>
      </c>
    </row>
    <row r="597">
      <c r="A597" s="2">
        <v>3876.0</v>
      </c>
      <c r="B597" s="2">
        <v>461.0</v>
      </c>
      <c r="C597" s="2">
        <v>3.0</v>
      </c>
      <c r="D597" s="2" t="s">
        <v>263</v>
      </c>
      <c r="E597" s="2" t="s">
        <v>2423</v>
      </c>
      <c r="H597" s="2">
        <v>2.0</v>
      </c>
      <c r="I597" s="2">
        <v>0.0</v>
      </c>
      <c r="K597" s="8" t="str">
        <f t="shared" si="1"/>
        <v>CALL InsertOrUpdateAtributosProductos ('3876','461','3','MEDIDAS','18 x 15 cm','2','0');</v>
      </c>
    </row>
    <row r="598">
      <c r="A598" s="2">
        <v>3877.0</v>
      </c>
      <c r="B598" s="2">
        <v>461.0</v>
      </c>
      <c r="C598" s="2">
        <v>3.0</v>
      </c>
      <c r="D598" s="2" t="s">
        <v>263</v>
      </c>
      <c r="E598" s="2" t="s">
        <v>2424</v>
      </c>
      <c r="H598" s="2">
        <v>3.0</v>
      </c>
      <c r="I598" s="2">
        <v>0.0</v>
      </c>
      <c r="K598" s="8" t="str">
        <f t="shared" si="1"/>
        <v>CALL InsertOrUpdateAtributosProductos ('3877','461','3','MEDIDAS','21 x 18 cm','3','0');</v>
      </c>
    </row>
    <row r="599">
      <c r="A599" s="2">
        <v>3878.0</v>
      </c>
      <c r="B599" s="2">
        <v>461.0</v>
      </c>
      <c r="C599" s="2">
        <v>3.0</v>
      </c>
      <c r="D599" s="2" t="s">
        <v>263</v>
      </c>
      <c r="E599" s="2" t="s">
        <v>2425</v>
      </c>
      <c r="H599" s="2">
        <v>4.0</v>
      </c>
      <c r="I599" s="2">
        <v>0.0</v>
      </c>
      <c r="K599" s="8" t="str">
        <f t="shared" si="1"/>
        <v>CALL InsertOrUpdateAtributosProductos ('3878','461','3','MEDIDAS','24 x 19 cm','4','0');</v>
      </c>
    </row>
    <row r="600">
      <c r="A600" s="2">
        <v>3879.0</v>
      </c>
      <c r="B600" s="2">
        <v>461.0</v>
      </c>
      <c r="C600" s="2">
        <v>3.0</v>
      </c>
      <c r="D600" s="2" t="s">
        <v>263</v>
      </c>
      <c r="E600" s="2" t="s">
        <v>2426</v>
      </c>
      <c r="H600" s="2">
        <v>5.0</v>
      </c>
      <c r="I600" s="2">
        <v>0.0</v>
      </c>
      <c r="K600" s="8" t="str">
        <f t="shared" si="1"/>
        <v>CALL InsertOrUpdateAtributosProductos ('3879','461','3','MEDIDAS','27 x 21 cm','5','0');</v>
      </c>
    </row>
    <row r="601">
      <c r="A601" s="2">
        <v>3880.0</v>
      </c>
      <c r="B601" s="2">
        <v>461.0</v>
      </c>
      <c r="C601" s="2">
        <v>3.0</v>
      </c>
      <c r="D601" s="2" t="s">
        <v>263</v>
      </c>
      <c r="E601" s="2" t="s">
        <v>2427</v>
      </c>
      <c r="H601" s="2">
        <v>6.0</v>
      </c>
      <c r="I601" s="2">
        <v>0.0</v>
      </c>
      <c r="K601" s="8" t="str">
        <f t="shared" si="1"/>
        <v>CALL InsertOrUpdateAtributosProductos ('3880','461','3','MEDIDAS','29 x 23 cm','6','0');</v>
      </c>
    </row>
    <row r="602">
      <c r="A602" s="2">
        <v>3881.0</v>
      </c>
      <c r="B602" s="2">
        <v>462.0</v>
      </c>
      <c r="C602" s="2">
        <v>3.0</v>
      </c>
      <c r="D602" s="2" t="s">
        <v>263</v>
      </c>
      <c r="E602" s="2" t="s">
        <v>2428</v>
      </c>
      <c r="H602" s="2">
        <v>1.0</v>
      </c>
      <c r="I602" s="2">
        <v>0.0</v>
      </c>
      <c r="K602" s="8" t="str">
        <f t="shared" si="1"/>
        <v>CALL InsertOrUpdateAtributosProductos ('3881','462','3','MEDIDAS','14 x 16,5 cm','1','0');</v>
      </c>
    </row>
    <row r="603">
      <c r="A603" s="2">
        <v>3882.0</v>
      </c>
      <c r="B603" s="2">
        <v>462.0</v>
      </c>
      <c r="C603" s="2">
        <v>3.0</v>
      </c>
      <c r="D603" s="2" t="s">
        <v>263</v>
      </c>
      <c r="E603" s="2" t="s">
        <v>2429</v>
      </c>
      <c r="H603" s="2">
        <v>2.0</v>
      </c>
      <c r="I603" s="2">
        <v>0.0</v>
      </c>
      <c r="K603" s="8" t="str">
        <f t="shared" si="1"/>
        <v>CALL InsertOrUpdateAtributosProductos ('3882','462','3','MEDIDAS','17 x 19,5 cm','2','0');</v>
      </c>
    </row>
    <row r="604">
      <c r="A604" s="2">
        <v>3883.0</v>
      </c>
      <c r="B604" s="2">
        <v>462.0</v>
      </c>
      <c r="C604" s="2">
        <v>3.0</v>
      </c>
      <c r="D604" s="2" t="s">
        <v>263</v>
      </c>
      <c r="E604" s="2" t="s">
        <v>2430</v>
      </c>
      <c r="H604" s="2">
        <v>3.0</v>
      </c>
      <c r="I604" s="2">
        <v>0.0</v>
      </c>
      <c r="K604" s="8" t="str">
        <f t="shared" si="1"/>
        <v>CALL InsertOrUpdateAtributosProductos ('3883','462','3','MEDIDAS','19 x 23 cm','3','0');</v>
      </c>
    </row>
    <row r="605">
      <c r="A605" s="2">
        <v>3884.0</v>
      </c>
      <c r="B605" s="2">
        <v>462.0</v>
      </c>
      <c r="C605" s="2">
        <v>3.0</v>
      </c>
      <c r="D605" s="2" t="s">
        <v>263</v>
      </c>
      <c r="E605" s="2" t="s">
        <v>2431</v>
      </c>
      <c r="H605" s="2">
        <v>4.0</v>
      </c>
      <c r="I605" s="2">
        <v>0.0</v>
      </c>
      <c r="K605" s="8" t="str">
        <f t="shared" si="1"/>
        <v>CALL InsertOrUpdateAtributosProductos ('3884','462','3','MEDIDAS','21,5 x 26 cm','4','0');</v>
      </c>
    </row>
    <row r="606">
      <c r="A606" s="2">
        <v>3885.0</v>
      </c>
      <c r="B606" s="2">
        <v>462.0</v>
      </c>
      <c r="C606" s="2">
        <v>3.0</v>
      </c>
      <c r="D606" s="2" t="s">
        <v>263</v>
      </c>
      <c r="E606" s="2" t="s">
        <v>2432</v>
      </c>
      <c r="H606" s="2">
        <v>5.0</v>
      </c>
      <c r="I606" s="2">
        <v>0.0</v>
      </c>
      <c r="K606" s="8" t="str">
        <f t="shared" si="1"/>
        <v>CALL InsertOrUpdateAtributosProductos ('3885','462','3','MEDIDAS','22,5 x 29 cm','5','0');</v>
      </c>
    </row>
    <row r="607">
      <c r="A607" s="2">
        <v>3886.0</v>
      </c>
      <c r="B607" s="2">
        <v>462.0</v>
      </c>
      <c r="C607" s="2">
        <v>3.0</v>
      </c>
      <c r="D607" s="2" t="s">
        <v>263</v>
      </c>
      <c r="E607" s="2" t="s">
        <v>2433</v>
      </c>
      <c r="H607" s="2">
        <v>6.0</v>
      </c>
      <c r="I607" s="2">
        <v>0.0</v>
      </c>
      <c r="K607" s="8" t="str">
        <f t="shared" si="1"/>
        <v>CALL InsertOrUpdateAtributosProductos ('3886','462','3','MEDIDAS','25 x 31 cm','6','0');</v>
      </c>
    </row>
    <row r="608">
      <c r="A608" s="2">
        <v>3887.0</v>
      </c>
      <c r="B608" s="2">
        <v>462.0</v>
      </c>
      <c r="C608" s="2">
        <v>3.0</v>
      </c>
      <c r="D608" s="2" t="s">
        <v>263</v>
      </c>
      <c r="E608" s="2" t="s">
        <v>2434</v>
      </c>
      <c r="H608" s="2">
        <v>7.0</v>
      </c>
      <c r="I608" s="2">
        <v>0.0</v>
      </c>
      <c r="K608" s="8" t="str">
        <f t="shared" si="1"/>
        <v>CALL InsertOrUpdateAtributosProductos ('3887','462','3','MEDIDAS','26.5 x 33 cm','7','0');</v>
      </c>
    </row>
    <row r="609">
      <c r="A609" s="2">
        <v>3888.0</v>
      </c>
      <c r="B609" s="2">
        <v>464.0</v>
      </c>
      <c r="C609" s="2">
        <v>3.0</v>
      </c>
      <c r="D609" s="2" t="s">
        <v>263</v>
      </c>
      <c r="E609" s="2" t="s">
        <v>2435</v>
      </c>
      <c r="H609" s="2">
        <v>1.0</v>
      </c>
      <c r="I609" s="2">
        <v>0.0</v>
      </c>
      <c r="K609" s="8" t="str">
        <f t="shared" si="1"/>
        <v>CALL InsertOrUpdateAtributosProductos ('3888','464','3','MEDIDAS','Diámetro 18 cm','1','0');</v>
      </c>
    </row>
    <row r="610">
      <c r="A610" s="2">
        <v>3889.0</v>
      </c>
      <c r="B610" s="2">
        <v>464.0</v>
      </c>
      <c r="C610" s="2">
        <v>3.0</v>
      </c>
      <c r="D610" s="2" t="s">
        <v>263</v>
      </c>
      <c r="E610" s="2" t="s">
        <v>2436</v>
      </c>
      <c r="H610" s="2">
        <v>2.0</v>
      </c>
      <c r="I610" s="2">
        <v>0.0</v>
      </c>
      <c r="K610" s="8" t="str">
        <f t="shared" si="1"/>
        <v>CALL InsertOrUpdateAtributosProductos ('3889','464','3','MEDIDAS','Diámetro 20 cm','2','0');</v>
      </c>
    </row>
    <row r="611">
      <c r="A611" s="2">
        <v>3890.0</v>
      </c>
      <c r="B611" s="2">
        <v>464.0</v>
      </c>
      <c r="C611" s="2">
        <v>3.0</v>
      </c>
      <c r="D611" s="2" t="s">
        <v>263</v>
      </c>
      <c r="E611" s="2" t="s">
        <v>2437</v>
      </c>
      <c r="H611" s="2">
        <v>3.0</v>
      </c>
      <c r="I611" s="2">
        <v>0.0</v>
      </c>
      <c r="K611" s="8" t="str">
        <f t="shared" si="1"/>
        <v>CALL InsertOrUpdateAtributosProductos ('3890','464','3','MEDIDAS','Diámetro 22 cm','3','0');</v>
      </c>
    </row>
    <row r="612">
      <c r="A612" s="2">
        <v>3891.0</v>
      </c>
      <c r="B612" s="2">
        <v>464.0</v>
      </c>
      <c r="C612" s="2">
        <v>3.0</v>
      </c>
      <c r="D612" s="2" t="s">
        <v>263</v>
      </c>
      <c r="E612" s="2" t="s">
        <v>2438</v>
      </c>
      <c r="H612" s="2">
        <v>4.0</v>
      </c>
      <c r="I612" s="2">
        <v>0.0</v>
      </c>
      <c r="K612" s="8" t="str">
        <f t="shared" si="1"/>
        <v>CALL InsertOrUpdateAtributosProductos ('3891','464','3','MEDIDAS','Diámetro 24 cm','4','0');</v>
      </c>
    </row>
    <row r="613">
      <c r="A613" s="2">
        <v>3892.0</v>
      </c>
      <c r="B613" s="2">
        <v>465.0</v>
      </c>
      <c r="C613" s="2">
        <v>3.0</v>
      </c>
      <c r="D613" s="2" t="s">
        <v>263</v>
      </c>
      <c r="E613" s="2" t="s">
        <v>2439</v>
      </c>
      <c r="H613" s="2">
        <v>1.0</v>
      </c>
      <c r="I613" s="2">
        <v>0.0</v>
      </c>
      <c r="K613" s="8" t="str">
        <f t="shared" si="1"/>
        <v>CALL InsertOrUpdateAtributosProductos ('3892','465','3','MEDIDAS','12 x 19 cm','1','0');</v>
      </c>
    </row>
    <row r="614">
      <c r="A614" s="2">
        <v>3893.0</v>
      </c>
      <c r="B614" s="2">
        <v>465.0</v>
      </c>
      <c r="C614" s="2">
        <v>3.0</v>
      </c>
      <c r="D614" s="2" t="s">
        <v>263</v>
      </c>
      <c r="E614" s="2" t="s">
        <v>2440</v>
      </c>
      <c r="H614" s="2">
        <v>2.0</v>
      </c>
      <c r="I614" s="2">
        <v>0.0</v>
      </c>
      <c r="K614" s="8" t="str">
        <f t="shared" si="1"/>
        <v>CALL InsertOrUpdateAtributosProductos ('3893','465','3','MEDIDAS','18 x 24 cm','2','0');</v>
      </c>
    </row>
    <row r="615">
      <c r="A615" s="2">
        <v>3894.0</v>
      </c>
      <c r="B615" s="2">
        <v>465.0</v>
      </c>
      <c r="C615" s="2">
        <v>3.0</v>
      </c>
      <c r="D615" s="2" t="s">
        <v>263</v>
      </c>
      <c r="E615" s="2" t="s">
        <v>2441</v>
      </c>
      <c r="H615" s="2">
        <v>3.0</v>
      </c>
      <c r="I615" s="2">
        <v>0.0</v>
      </c>
      <c r="K615" s="8" t="str">
        <f t="shared" si="1"/>
        <v>CALL InsertOrUpdateAtributosProductos ('3894','465','3','MEDIDAS','19 x 24 cm','3','0');</v>
      </c>
    </row>
    <row r="616">
      <c r="A616" s="2">
        <v>3895.0</v>
      </c>
      <c r="B616" s="2">
        <v>465.0</v>
      </c>
      <c r="C616" s="2">
        <v>3.0</v>
      </c>
      <c r="D616" s="2" t="s">
        <v>263</v>
      </c>
      <c r="E616" s="2" t="s">
        <v>2442</v>
      </c>
      <c r="H616" s="2">
        <v>4.0</v>
      </c>
      <c r="I616" s="2">
        <v>0.0</v>
      </c>
      <c r="K616" s="8" t="str">
        <f t="shared" si="1"/>
        <v>CALL InsertOrUpdateAtributosProductos ('3895','465','3','MEDIDAS','22 x 28 cm','4','0');</v>
      </c>
    </row>
    <row r="617">
      <c r="A617" s="2">
        <v>3896.0</v>
      </c>
      <c r="B617" s="2">
        <v>466.0</v>
      </c>
      <c r="C617" s="2">
        <v>3.0</v>
      </c>
      <c r="D617" s="2" t="s">
        <v>263</v>
      </c>
      <c r="E617" s="2" t="s">
        <v>2443</v>
      </c>
      <c r="H617" s="2">
        <v>1.0</v>
      </c>
      <c r="I617" s="2">
        <v>0.0</v>
      </c>
      <c r="K617" s="8" t="str">
        <f t="shared" si="1"/>
        <v>CALL InsertOrUpdateAtributosProductos ('3896','466','3','MEDIDAS','Diametro 16 cm','1','0');</v>
      </c>
    </row>
    <row r="618">
      <c r="A618" s="2">
        <v>3897.0</v>
      </c>
      <c r="B618" s="2">
        <v>466.0</v>
      </c>
      <c r="C618" s="2">
        <v>3.0</v>
      </c>
      <c r="D618" s="2" t="s">
        <v>263</v>
      </c>
      <c r="E618" s="2" t="s">
        <v>2444</v>
      </c>
      <c r="H618" s="2">
        <v>2.0</v>
      </c>
      <c r="I618" s="2">
        <v>0.0</v>
      </c>
      <c r="K618" s="8" t="str">
        <f t="shared" si="1"/>
        <v>CALL InsertOrUpdateAtributosProductos ('3897','466','3','MEDIDAS','Diametro 22 cm','2','0');</v>
      </c>
    </row>
    <row r="619">
      <c r="A619" s="2">
        <v>3898.0</v>
      </c>
      <c r="B619" s="2">
        <v>466.0</v>
      </c>
      <c r="C619" s="2">
        <v>3.0</v>
      </c>
      <c r="D619" s="2" t="s">
        <v>263</v>
      </c>
      <c r="E619" s="2" t="s">
        <v>2445</v>
      </c>
      <c r="H619" s="2">
        <v>3.0</v>
      </c>
      <c r="I619" s="2">
        <v>0.0</v>
      </c>
      <c r="K619" s="8" t="str">
        <f t="shared" si="1"/>
        <v>CALL InsertOrUpdateAtributosProductos ('3898','466','3','MEDIDAS','Diametro 24 cm','3','0');</v>
      </c>
    </row>
    <row r="620">
      <c r="A620" s="2">
        <v>3899.0</v>
      </c>
      <c r="B620" s="2">
        <v>466.0</v>
      </c>
      <c r="C620" s="2">
        <v>3.0</v>
      </c>
      <c r="D620" s="2" t="s">
        <v>263</v>
      </c>
      <c r="E620" s="2" t="s">
        <v>2446</v>
      </c>
      <c r="H620" s="2">
        <v>4.0</v>
      </c>
      <c r="I620" s="2">
        <v>0.0</v>
      </c>
      <c r="K620" s="8" t="str">
        <f t="shared" si="1"/>
        <v>CALL InsertOrUpdateAtributosProductos ('3899','466','3','MEDIDAS','Diametro 26 cm','4','0');</v>
      </c>
    </row>
    <row r="621">
      <c r="A621" s="2">
        <v>3900.0</v>
      </c>
      <c r="B621" s="2">
        <v>466.0</v>
      </c>
      <c r="C621" s="2">
        <v>3.0</v>
      </c>
      <c r="D621" s="2" t="s">
        <v>263</v>
      </c>
      <c r="E621" s="2" t="s">
        <v>2447</v>
      </c>
      <c r="H621" s="2">
        <v>5.0</v>
      </c>
      <c r="I621" s="2">
        <v>0.0</v>
      </c>
      <c r="K621" s="8" t="str">
        <f t="shared" si="1"/>
        <v>CALL InsertOrUpdateAtributosProductos ('3900','466','3','MEDIDAS','Diametro 29 cm','5','0');</v>
      </c>
    </row>
    <row r="622">
      <c r="A622" s="2">
        <v>3901.0</v>
      </c>
      <c r="B622" s="2">
        <v>466.0</v>
      </c>
      <c r="C622" s="2">
        <v>3.0</v>
      </c>
      <c r="D622" s="2" t="s">
        <v>263</v>
      </c>
      <c r="E622" s="2" t="s">
        <v>2448</v>
      </c>
      <c r="H622" s="2">
        <v>6.0</v>
      </c>
      <c r="I622" s="2">
        <v>0.0</v>
      </c>
      <c r="K622" s="8" t="str">
        <f t="shared" si="1"/>
        <v>CALL InsertOrUpdateAtributosProductos ('3901','466','3','MEDIDAS','Diametro 31 cm','6','0');</v>
      </c>
    </row>
    <row r="623">
      <c r="A623" s="2">
        <v>3902.0</v>
      </c>
      <c r="B623" s="2">
        <v>466.0</v>
      </c>
      <c r="C623" s="2">
        <v>3.0</v>
      </c>
      <c r="D623" s="2" t="s">
        <v>263</v>
      </c>
      <c r="E623" s="2" t="s">
        <v>2449</v>
      </c>
      <c r="H623" s="2">
        <v>7.0</v>
      </c>
      <c r="I623" s="2">
        <v>0.0</v>
      </c>
      <c r="K623" s="8" t="str">
        <f t="shared" si="1"/>
        <v>CALL InsertOrUpdateAtributosProductos ('3902','466','3','MEDIDAS','Diametro 36 cm','7','0');</v>
      </c>
    </row>
    <row r="624">
      <c r="A624" s="2">
        <v>3903.0</v>
      </c>
      <c r="B624" s="2">
        <v>467.0</v>
      </c>
      <c r="C624" s="2">
        <v>3.0</v>
      </c>
      <c r="D624" s="2" t="s">
        <v>263</v>
      </c>
      <c r="E624" s="2" t="s">
        <v>2450</v>
      </c>
      <c r="H624" s="2">
        <v>1.0</v>
      </c>
      <c r="I624" s="2">
        <v>0.0</v>
      </c>
      <c r="K624" s="8" t="str">
        <f t="shared" si="1"/>
        <v>CALL InsertOrUpdateAtributosProductos ('3903','467','3','MEDIDAS','Diámetro 8 cm','1','0');</v>
      </c>
    </row>
    <row r="625">
      <c r="A625" s="2">
        <v>3904.0</v>
      </c>
      <c r="B625" s="2">
        <v>467.0</v>
      </c>
      <c r="C625" s="2">
        <v>3.0</v>
      </c>
      <c r="D625" s="2" t="s">
        <v>263</v>
      </c>
      <c r="E625" s="2" t="s">
        <v>2451</v>
      </c>
      <c r="H625" s="2">
        <v>2.0</v>
      </c>
      <c r="I625" s="2">
        <v>0.0</v>
      </c>
      <c r="K625" s="8" t="str">
        <f t="shared" si="1"/>
        <v>CALL InsertOrUpdateAtributosProductos ('3904','467','3','MEDIDAS','Diámetro 10 cm','2','0');</v>
      </c>
    </row>
    <row r="626">
      <c r="A626" s="2">
        <v>3905.0</v>
      </c>
      <c r="B626" s="2">
        <v>467.0</v>
      </c>
      <c r="C626" s="2">
        <v>3.0</v>
      </c>
      <c r="D626" s="2" t="s">
        <v>263</v>
      </c>
      <c r="E626" s="2" t="s">
        <v>2452</v>
      </c>
      <c r="H626" s="2">
        <v>3.0</v>
      </c>
      <c r="I626" s="2">
        <v>0.0</v>
      </c>
      <c r="K626" s="8" t="str">
        <f t="shared" si="1"/>
        <v>CALL InsertOrUpdateAtributosProductos ('3905','467','3','MEDIDAS','Diámetro 12 cm','3','0');</v>
      </c>
    </row>
    <row r="627">
      <c r="A627" s="2">
        <v>3906.0</v>
      </c>
      <c r="B627" s="2">
        <v>473.0</v>
      </c>
      <c r="C627" s="2">
        <v>3.0</v>
      </c>
      <c r="D627" s="2" t="s">
        <v>263</v>
      </c>
      <c r="E627" s="2" t="s">
        <v>2453</v>
      </c>
      <c r="H627" s="2">
        <v>1.0</v>
      </c>
      <c r="I627" s="2">
        <v>0.0</v>
      </c>
      <c r="K627" s="8" t="str">
        <f t="shared" si="1"/>
        <v>CALL InsertOrUpdateAtributosProductos ('3906','473','3','MEDIDAS','15 cm','1','0');</v>
      </c>
    </row>
    <row r="628">
      <c r="A628" s="2">
        <v>3907.0</v>
      </c>
      <c r="B628" s="2">
        <v>473.0</v>
      </c>
      <c r="C628" s="2">
        <v>3.0</v>
      </c>
      <c r="D628" s="2" t="s">
        <v>263</v>
      </c>
      <c r="E628" s="2" t="s">
        <v>2279</v>
      </c>
      <c r="H628" s="2">
        <v>2.0</v>
      </c>
      <c r="I628" s="2">
        <v>0.0</v>
      </c>
      <c r="K628" s="8" t="str">
        <f t="shared" si="1"/>
        <v>CALL InsertOrUpdateAtributosProductos ('3907','473','3','MEDIDAS','25 cm','2','0');</v>
      </c>
    </row>
    <row r="629">
      <c r="A629" s="2">
        <v>3908.0</v>
      </c>
      <c r="B629" s="2">
        <v>474.0</v>
      </c>
      <c r="C629" s="2">
        <v>3.0</v>
      </c>
      <c r="D629" s="2" t="s">
        <v>263</v>
      </c>
      <c r="E629" s="2" t="s">
        <v>2454</v>
      </c>
      <c r="H629" s="2">
        <v>1.0</v>
      </c>
      <c r="I629" s="2">
        <v>0.0</v>
      </c>
      <c r="K629" s="8" t="str">
        <f t="shared" si="1"/>
        <v>CALL InsertOrUpdateAtributosProductos ('3908','474','3','MEDIDAS','Diam26 h5 cm','1','0');</v>
      </c>
    </row>
    <row r="630">
      <c r="A630" s="2">
        <v>3909.0</v>
      </c>
      <c r="B630" s="2">
        <v>474.0</v>
      </c>
      <c r="C630" s="2">
        <v>3.0</v>
      </c>
      <c r="D630" s="2" t="s">
        <v>263</v>
      </c>
      <c r="E630" s="2" t="s">
        <v>2455</v>
      </c>
      <c r="H630" s="2">
        <v>2.0</v>
      </c>
      <c r="I630" s="2">
        <v>0.0</v>
      </c>
      <c r="K630" s="8" t="str">
        <f t="shared" si="1"/>
        <v>CALL InsertOrUpdateAtributosProductos ('3909','474','3','MEDIDAS','Diam26 h11 cm','2','0');</v>
      </c>
    </row>
    <row r="631">
      <c r="A631" s="2">
        <v>3910.0</v>
      </c>
      <c r="B631" s="2">
        <v>474.0</v>
      </c>
      <c r="C631" s="2">
        <v>3.0</v>
      </c>
      <c r="D631" s="2" t="s">
        <v>263</v>
      </c>
      <c r="E631" s="2" t="s">
        <v>2456</v>
      </c>
      <c r="H631" s="2">
        <v>3.0</v>
      </c>
      <c r="I631" s="2">
        <v>0.0</v>
      </c>
      <c r="K631" s="8" t="str">
        <f t="shared" si="1"/>
        <v>CALL InsertOrUpdateAtributosProductos ('3910','474','3','MEDIDAS','Diam29,6 h5,6 cm','3','0');</v>
      </c>
    </row>
    <row r="632">
      <c r="A632" s="2">
        <v>3911.0</v>
      </c>
      <c r="B632" s="2">
        <v>474.0</v>
      </c>
      <c r="C632" s="2">
        <v>3.0</v>
      </c>
      <c r="D632" s="2" t="s">
        <v>263</v>
      </c>
      <c r="E632" s="2" t="s">
        <v>2457</v>
      </c>
      <c r="H632" s="2">
        <v>4.0</v>
      </c>
      <c r="I632" s="2">
        <v>0.0</v>
      </c>
      <c r="K632" s="8" t="str">
        <f t="shared" si="1"/>
        <v>CALL InsertOrUpdateAtributosProductos ('3911','474','3','MEDIDAS','Diam29,6 h11 cm','4','0');</v>
      </c>
    </row>
    <row r="633">
      <c r="A633" s="2">
        <v>3912.0</v>
      </c>
      <c r="B633" s="2">
        <v>475.0</v>
      </c>
      <c r="C633" s="2">
        <v>3.0</v>
      </c>
      <c r="D633" s="2" t="s">
        <v>263</v>
      </c>
      <c r="E633" s="2" t="s">
        <v>2458</v>
      </c>
      <c r="H633" s="2">
        <v>1.0</v>
      </c>
      <c r="I633" s="2">
        <v>0.0</v>
      </c>
      <c r="K633" s="8" t="str">
        <f t="shared" si="1"/>
        <v>CALL InsertOrUpdateAtributosProductos ('3912','475','3','MEDIDAS','Diam25 h5 cm','1','0');</v>
      </c>
    </row>
    <row r="634">
      <c r="A634" s="2">
        <v>3913.0</v>
      </c>
      <c r="B634" s="2">
        <v>476.0</v>
      </c>
      <c r="C634" s="2">
        <v>3.0</v>
      </c>
      <c r="D634" s="2" t="s">
        <v>263</v>
      </c>
      <c r="E634" s="2" t="s">
        <v>2459</v>
      </c>
      <c r="H634" s="2">
        <v>1.0</v>
      </c>
      <c r="I634" s="2">
        <v>0.0</v>
      </c>
      <c r="K634" s="8" t="str">
        <f t="shared" si="1"/>
        <v>CALL InsertOrUpdateAtributosProductos ('3913','476','3','MEDIDAS','15 x 27 x 1,5cm','1','0');</v>
      </c>
    </row>
    <row r="635">
      <c r="A635" s="2">
        <v>3914.0</v>
      </c>
      <c r="B635" s="2">
        <v>476.0</v>
      </c>
      <c r="C635" s="2">
        <v>3.0</v>
      </c>
      <c r="D635" s="2" t="s">
        <v>263</v>
      </c>
      <c r="E635" s="2" t="s">
        <v>2460</v>
      </c>
      <c r="H635" s="2">
        <v>2.0</v>
      </c>
      <c r="I635" s="2">
        <v>0.0</v>
      </c>
      <c r="K635" s="8" t="str">
        <f t="shared" si="1"/>
        <v>CALL InsertOrUpdateAtributosProductos ('3914','476','3','MEDIDAS','14 x 15 x 2 cm','2','0');</v>
      </c>
    </row>
    <row r="636">
      <c r="A636" s="2">
        <v>3915.0</v>
      </c>
      <c r="B636" s="2">
        <v>476.0</v>
      </c>
      <c r="C636" s="2">
        <v>3.0</v>
      </c>
      <c r="D636" s="2" t="s">
        <v>263</v>
      </c>
      <c r="E636" s="2" t="s">
        <v>2461</v>
      </c>
      <c r="H636" s="2">
        <v>3.0</v>
      </c>
      <c r="I636" s="2">
        <v>0.0</v>
      </c>
      <c r="K636" s="8" t="str">
        <f t="shared" si="1"/>
        <v>CALL InsertOrUpdateAtributosProductos ('3915','476','3','MEDIDAS','15 x 20 x 2 cm','3','0');</v>
      </c>
    </row>
    <row r="637">
      <c r="A637" s="2">
        <v>3916.0</v>
      </c>
      <c r="B637" s="2">
        <v>476.0</v>
      </c>
      <c r="C637" s="2">
        <v>3.0</v>
      </c>
      <c r="D637" s="2" t="s">
        <v>263</v>
      </c>
      <c r="E637" s="2" t="s">
        <v>2462</v>
      </c>
      <c r="H637" s="2">
        <v>4.0</v>
      </c>
      <c r="I637" s="2">
        <v>0.0</v>
      </c>
      <c r="K637" s="8" t="str">
        <f t="shared" si="1"/>
        <v>CALL InsertOrUpdateAtributosProductos ('3916','476','3','MEDIDAS','19 x 23 x 2 cm','4','0');</v>
      </c>
    </row>
    <row r="638">
      <c r="A638" s="2">
        <v>3917.0</v>
      </c>
      <c r="B638" s="2">
        <v>476.0</v>
      </c>
      <c r="C638" s="2">
        <v>3.0</v>
      </c>
      <c r="D638" s="2" t="s">
        <v>263</v>
      </c>
      <c r="E638" s="2" t="s">
        <v>2463</v>
      </c>
      <c r="H638" s="2">
        <v>5.0</v>
      </c>
      <c r="I638" s="2">
        <v>0.0</v>
      </c>
      <c r="K638" s="8" t="str">
        <f t="shared" si="1"/>
        <v>CALL InsertOrUpdateAtributosProductos ('3917','476','3','MEDIDAS','20 x 29 x 2,5 cm','5','0');</v>
      </c>
    </row>
    <row r="639">
      <c r="A639" s="2">
        <v>3918.0</v>
      </c>
      <c r="B639" s="2">
        <v>476.0</v>
      </c>
      <c r="C639" s="2">
        <v>3.0</v>
      </c>
      <c r="D639" s="2" t="s">
        <v>263</v>
      </c>
      <c r="E639" s="2" t="s">
        <v>2464</v>
      </c>
      <c r="H639" s="2">
        <v>6.0</v>
      </c>
      <c r="I639" s="2">
        <v>0.0</v>
      </c>
      <c r="K639" s="8" t="str">
        <f t="shared" si="1"/>
        <v>CALL InsertOrUpdateAtributosProductos ('3918','476','3','MEDIDAS','20,5 x 15 x 2 cm','6','0');</v>
      </c>
    </row>
    <row r="640">
      <c r="A640" s="2">
        <v>3919.0</v>
      </c>
      <c r="B640" s="2">
        <v>477.0</v>
      </c>
      <c r="C640" s="2">
        <v>3.0</v>
      </c>
      <c r="D640" s="2" t="s">
        <v>263</v>
      </c>
      <c r="E640" s="2" t="s">
        <v>2465</v>
      </c>
      <c r="H640" s="2">
        <v>1.0</v>
      </c>
      <c r="I640" s="2">
        <v>0.0</v>
      </c>
      <c r="K640" s="8" t="str">
        <f t="shared" si="1"/>
        <v>CALL InsertOrUpdateAtributosProductos ('3919','477','3','MEDIDAS','Diam 19 h5,5 cm','1','0');</v>
      </c>
    </row>
    <row r="641">
      <c r="A641" s="2">
        <v>3920.0</v>
      </c>
      <c r="B641" s="2">
        <v>478.0</v>
      </c>
      <c r="C641" s="2">
        <v>3.0</v>
      </c>
      <c r="D641" s="2" t="s">
        <v>263</v>
      </c>
      <c r="E641" s="2" t="s">
        <v>2466</v>
      </c>
      <c r="H641" s="2">
        <v>1.0</v>
      </c>
      <c r="I641" s="2">
        <v>0.0</v>
      </c>
      <c r="K641" s="8" t="str">
        <f t="shared" si="1"/>
        <v>CALL InsertOrUpdateAtributosProductos ('3920','478','3','MEDIDAS','20,2 x 15,2 x 3,3 cm','1','0');</v>
      </c>
    </row>
    <row r="642">
      <c r="A642" s="2">
        <v>3921.0</v>
      </c>
      <c r="B642" s="2">
        <v>479.0</v>
      </c>
      <c r="C642" s="2">
        <v>3.0</v>
      </c>
      <c r="D642" s="2" t="s">
        <v>263</v>
      </c>
      <c r="E642" s="2" t="s">
        <v>2467</v>
      </c>
      <c r="H642" s="2">
        <v>1.0</v>
      </c>
      <c r="I642" s="2">
        <v>0.0</v>
      </c>
      <c r="K642" s="8" t="str">
        <f t="shared" si="1"/>
        <v>CALL InsertOrUpdateAtributosProductos ('3921','479','3','MEDIDAS','23 x 20,4 x 3,7 cm','1','0');</v>
      </c>
    </row>
    <row r="643">
      <c r="A643" s="2">
        <v>3922.0</v>
      </c>
      <c r="B643" s="2">
        <v>480.0</v>
      </c>
      <c r="C643" s="2">
        <v>3.0</v>
      </c>
      <c r="D643" s="2" t="s">
        <v>263</v>
      </c>
      <c r="E643" s="2" t="s">
        <v>2468</v>
      </c>
      <c r="H643" s="2">
        <v>1.0</v>
      </c>
      <c r="I643" s="2">
        <v>0.0</v>
      </c>
      <c r="K643" s="8" t="str">
        <f t="shared" si="1"/>
        <v>CALL InsertOrUpdateAtributosProductos ('3922','480','3','MEDIDAS','10,8 x 8 x 4,2 cm','1','0');</v>
      </c>
    </row>
    <row r="644">
      <c r="A644" s="2">
        <v>3923.0</v>
      </c>
      <c r="B644" s="2">
        <v>480.0</v>
      </c>
      <c r="C644" s="2">
        <v>3.0</v>
      </c>
      <c r="D644" s="2" t="s">
        <v>263</v>
      </c>
      <c r="E644" s="2" t="s">
        <v>2469</v>
      </c>
      <c r="H644" s="2">
        <v>2.0</v>
      </c>
      <c r="I644" s="2">
        <v>0.0</v>
      </c>
      <c r="K644" s="8" t="str">
        <f t="shared" si="1"/>
        <v>CALL InsertOrUpdateAtributosProductos ('3923','480','3','MEDIDAS','15 x 10,8 x 4,5 cm','2','0');</v>
      </c>
    </row>
    <row r="645">
      <c r="A645" s="2">
        <v>3924.0</v>
      </c>
      <c r="B645" s="2">
        <v>480.0</v>
      </c>
      <c r="C645" s="2">
        <v>3.0</v>
      </c>
      <c r="D645" s="2" t="s">
        <v>263</v>
      </c>
      <c r="E645" s="2" t="s">
        <v>2470</v>
      </c>
      <c r="H645" s="2">
        <v>3.0</v>
      </c>
      <c r="I645" s="2">
        <v>0.0</v>
      </c>
      <c r="K645" s="8" t="str">
        <f t="shared" si="1"/>
        <v>CALL InsertOrUpdateAtributosProductos ('3924','480','3','MEDIDAS','17,8 x 13,2 x 5 cm','3','0');</v>
      </c>
    </row>
    <row r="646">
      <c r="A646" s="2">
        <v>3925.0</v>
      </c>
      <c r="B646" s="2">
        <v>480.0</v>
      </c>
      <c r="C646" s="2">
        <v>3.0</v>
      </c>
      <c r="D646" s="2" t="s">
        <v>263</v>
      </c>
      <c r="E646" s="2" t="s">
        <v>2471</v>
      </c>
      <c r="H646" s="2">
        <v>4.0</v>
      </c>
      <c r="I646" s="2">
        <v>0.0</v>
      </c>
      <c r="K646" s="8" t="str">
        <f t="shared" si="1"/>
        <v>CALL InsertOrUpdateAtributosProductos ('3925','480','3','MEDIDAS','22,8 x 18 x 4,1 cm','4','0');</v>
      </c>
    </row>
    <row r="647">
      <c r="A647" s="2">
        <v>3926.0</v>
      </c>
      <c r="B647" s="2">
        <v>480.0</v>
      </c>
      <c r="C647" s="2">
        <v>3.0</v>
      </c>
      <c r="D647" s="2" t="s">
        <v>263</v>
      </c>
      <c r="E647" s="2" t="s">
        <v>2472</v>
      </c>
      <c r="H647" s="2">
        <v>5.0</v>
      </c>
      <c r="I647" s="2">
        <v>0.0</v>
      </c>
      <c r="K647" s="8" t="str">
        <f t="shared" si="1"/>
        <v>CALL InsertOrUpdateAtributosProductos ('3926','480','3','MEDIDAS','27 x 18,6 x 4,8 cm','5','0');</v>
      </c>
    </row>
    <row r="648">
      <c r="A648" s="2">
        <v>3927.0</v>
      </c>
      <c r="B648" s="2">
        <v>481.0</v>
      </c>
      <c r="C648" s="2">
        <v>3.0</v>
      </c>
      <c r="D648" s="2" t="s">
        <v>263</v>
      </c>
      <c r="E648" s="2" t="s">
        <v>2473</v>
      </c>
      <c r="H648" s="2">
        <v>1.0</v>
      </c>
      <c r="I648" s="2">
        <v>0.0</v>
      </c>
      <c r="K648" s="8" t="str">
        <f t="shared" si="1"/>
        <v>CALL InsertOrUpdateAtributosProductos ('3927','481','3','MEDIDAS','10,8 x 8 x 1,3 cm','1','0');</v>
      </c>
    </row>
    <row r="649">
      <c r="A649" s="2">
        <v>3928.0</v>
      </c>
      <c r="B649" s="2">
        <v>481.0</v>
      </c>
      <c r="C649" s="2">
        <v>3.0</v>
      </c>
      <c r="D649" s="2" t="s">
        <v>263</v>
      </c>
      <c r="E649" s="2" t="s">
        <v>2474</v>
      </c>
      <c r="H649" s="2">
        <v>2.0</v>
      </c>
      <c r="I649" s="2">
        <v>0.0</v>
      </c>
      <c r="K649" s="8" t="str">
        <f t="shared" si="1"/>
        <v>CALL InsertOrUpdateAtributosProductos ('3928','481','3','MEDIDAS','15 x 10,8 x 1,3 cm','2','0');</v>
      </c>
    </row>
    <row r="650">
      <c r="A650" s="2">
        <v>3929.0</v>
      </c>
      <c r="B650" s="2">
        <v>481.0</v>
      </c>
      <c r="C650" s="2">
        <v>3.0</v>
      </c>
      <c r="D650" s="2" t="s">
        <v>263</v>
      </c>
      <c r="E650" s="2" t="s">
        <v>2475</v>
      </c>
      <c r="H650" s="2">
        <v>3.0</v>
      </c>
      <c r="I650" s="2">
        <v>0.0</v>
      </c>
      <c r="J650" s="20"/>
      <c r="K650" s="8" t="str">
        <f t="shared" si="1"/>
        <v>CALL InsertOrUpdateAtributosProductos ('3929','481','3','MEDIDAS','17,8 x 13,2 x 1,3 cm','3','0');</v>
      </c>
      <c r="L650" s="21"/>
      <c r="M650" s="21"/>
      <c r="N650" s="21"/>
      <c r="O650" s="21"/>
      <c r="P650" s="21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">
        <v>3930.0</v>
      </c>
      <c r="B651" s="2">
        <v>481.0</v>
      </c>
      <c r="C651" s="2">
        <v>3.0</v>
      </c>
      <c r="D651" s="2" t="s">
        <v>263</v>
      </c>
      <c r="E651" s="2" t="s">
        <v>2476</v>
      </c>
      <c r="H651" s="2">
        <v>4.0</v>
      </c>
      <c r="I651" s="2">
        <v>0.0</v>
      </c>
      <c r="J651" s="20"/>
      <c r="K651" s="8" t="str">
        <f t="shared" si="1"/>
        <v>CALL InsertOrUpdateAtributosProductos ('3930','481','3','MEDIDAS','22,8 x 18 x 1,3 cm','4','0');</v>
      </c>
      <c r="L651" s="21"/>
      <c r="M651" s="21"/>
      <c r="N651" s="21"/>
      <c r="O651" s="21"/>
      <c r="P651" s="21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">
        <v>3931.0</v>
      </c>
      <c r="B652" s="2">
        <v>481.0</v>
      </c>
      <c r="C652" s="2">
        <v>3.0</v>
      </c>
      <c r="D652" s="2" t="s">
        <v>263</v>
      </c>
      <c r="E652" s="2" t="s">
        <v>2477</v>
      </c>
      <c r="H652" s="2">
        <v>5.0</v>
      </c>
      <c r="I652" s="2">
        <v>0.0</v>
      </c>
      <c r="J652" s="20"/>
      <c r="K652" s="8" t="str">
        <f t="shared" si="1"/>
        <v>CALL InsertOrUpdateAtributosProductos ('3931','481','3','MEDIDAS','27 x 18,6 x 2,5 cm','5','0');</v>
      </c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">
        <v>3932.0</v>
      </c>
      <c r="B653" s="2">
        <v>482.0</v>
      </c>
      <c r="C653" s="2">
        <v>3.0</v>
      </c>
      <c r="D653" s="2" t="s">
        <v>263</v>
      </c>
      <c r="E653" s="2" t="s">
        <v>2478</v>
      </c>
      <c r="H653" s="2">
        <v>1.0</v>
      </c>
      <c r="I653" s="2">
        <v>0.0</v>
      </c>
      <c r="J653" s="20"/>
      <c r="K653" s="8" t="str">
        <f t="shared" si="1"/>
        <v>CALL InsertOrUpdateAtributosProductos ('3932','482','3','MEDIDAS','23,3 x 17 x 4,6 cm','1','0');</v>
      </c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">
        <v>3933.0</v>
      </c>
      <c r="B654" s="2">
        <v>483.0</v>
      </c>
      <c r="C654" s="2">
        <v>3.0</v>
      </c>
      <c r="D654" s="2" t="s">
        <v>263</v>
      </c>
      <c r="E654" s="2" t="s">
        <v>2479</v>
      </c>
      <c r="H654" s="2">
        <v>1.0</v>
      </c>
      <c r="I654" s="2">
        <v>0.0</v>
      </c>
      <c r="J654" s="20"/>
      <c r="K654" s="8" t="str">
        <f t="shared" si="1"/>
        <v>CALL InsertOrUpdateAtributosProductos ('3933','483','3','MEDIDAS','23,3 x 17 x 1 cm','1','0');</v>
      </c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">
        <v>3934.0</v>
      </c>
      <c r="B655" s="2">
        <v>484.0</v>
      </c>
      <c r="C655" s="2">
        <v>3.0</v>
      </c>
      <c r="D655" s="2" t="s">
        <v>263</v>
      </c>
      <c r="E655" s="2" t="s">
        <v>2480</v>
      </c>
      <c r="H655" s="2">
        <v>1.0</v>
      </c>
      <c r="I655" s="2">
        <v>0.0</v>
      </c>
      <c r="J655" s="20"/>
      <c r="K655" s="8" t="str">
        <f t="shared" si="1"/>
        <v>CALL InsertOrUpdateAtributosProductos ('3934','484','3','MEDIDAS','Diam17 900cc','1','0');</v>
      </c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">
        <v>3935.0</v>
      </c>
      <c r="B656" s="2">
        <v>485.0</v>
      </c>
      <c r="C656" s="2">
        <v>3.0</v>
      </c>
      <c r="D656" s="2" t="s">
        <v>263</v>
      </c>
      <c r="E656" s="2" t="s">
        <v>2481</v>
      </c>
      <c r="H656" s="2">
        <v>1.0</v>
      </c>
      <c r="I656" s="2">
        <v>0.0</v>
      </c>
      <c r="J656" s="20"/>
      <c r="K656" s="8" t="str">
        <f t="shared" si="1"/>
        <v>CALL InsertOrUpdateAtributosProductos ('3935','485','3','MEDIDAS','14,5x12,5x65cm (500 ml)','1','0');</v>
      </c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">
        <v>3936.0</v>
      </c>
      <c r="B657" s="2">
        <v>485.0</v>
      </c>
      <c r="C657" s="2">
        <v>3.0</v>
      </c>
      <c r="D657" s="2" t="s">
        <v>263</v>
      </c>
      <c r="E657" s="2" t="s">
        <v>2482</v>
      </c>
      <c r="H657" s="2">
        <v>2.0</v>
      </c>
      <c r="I657" s="2">
        <v>0.0</v>
      </c>
      <c r="J657" s="20"/>
      <c r="K657" s="8" t="str">
        <f t="shared" si="1"/>
        <v>CALL InsertOrUpdateAtributosProductos ('3936','485','3','MEDIDAS','18,5x16,5x3,5cm (500 ml)','2','0');</v>
      </c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">
        <v>3937.0</v>
      </c>
      <c r="B658" s="2">
        <v>485.0</v>
      </c>
      <c r="C658" s="2">
        <v>3.0</v>
      </c>
      <c r="D658" s="2" t="s">
        <v>263</v>
      </c>
      <c r="E658" s="2" t="s">
        <v>2483</v>
      </c>
      <c r="H658" s="2">
        <v>3.0</v>
      </c>
      <c r="I658" s="2">
        <v>0.0</v>
      </c>
      <c r="J658" s="20"/>
      <c r="K658" s="8" t="str">
        <f t="shared" si="1"/>
        <v>CALL InsertOrUpdateAtributosProductos ('3937','485','3','MEDIDAS','18,5x16,5x 5cm (750 ml)','3','0');</v>
      </c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">
        <v>3938.0</v>
      </c>
      <c r="B659" s="2">
        <v>485.0</v>
      </c>
      <c r="C659" s="2">
        <v>3.0</v>
      </c>
      <c r="D659" s="2" t="s">
        <v>263</v>
      </c>
      <c r="E659" s="2" t="s">
        <v>2484</v>
      </c>
      <c r="H659" s="2">
        <v>4.0</v>
      </c>
      <c r="I659" s="2">
        <v>0.0</v>
      </c>
      <c r="J659" s="20"/>
      <c r="K659" s="8" t="str">
        <f t="shared" si="1"/>
        <v>CALL InsertOrUpdateAtributosProductos ('3938','485','3','MEDIDAS','18,5x16,5x6,5cm (1 Lt)','4','0');</v>
      </c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">
        <v>3939.0</v>
      </c>
      <c r="B660" s="2">
        <v>493.0</v>
      </c>
      <c r="C660" s="2">
        <v>10.0</v>
      </c>
      <c r="D660" s="2" t="s">
        <v>663</v>
      </c>
      <c r="E660" s="2" t="s">
        <v>2485</v>
      </c>
      <c r="H660" s="2">
        <v>1.0</v>
      </c>
      <c r="I660" s="2">
        <v>0.0</v>
      </c>
      <c r="J660" s="20"/>
      <c r="K660" s="8" t="str">
        <f t="shared" si="1"/>
        <v>CALL InsertOrUpdateAtributosProductos ('3939','493','10','TAMAÑO','Chico P17','1','0');</v>
      </c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">
        <v>3940.0</v>
      </c>
      <c r="B661" s="2">
        <v>493.0</v>
      </c>
      <c r="C661" s="2">
        <v>10.0</v>
      </c>
      <c r="D661" s="2" t="s">
        <v>663</v>
      </c>
      <c r="E661" s="2" t="s">
        <v>2486</v>
      </c>
      <c r="H661" s="2">
        <v>2.0</v>
      </c>
      <c r="I661" s="2">
        <v>0.0</v>
      </c>
      <c r="J661" s="20"/>
      <c r="K661" s="8" t="str">
        <f t="shared" si="1"/>
        <v>CALL InsertOrUpdateAtributosProductos ('3940','493','10','TAMAÑO','Grande P22','2','0');</v>
      </c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">
        <v>3941.0</v>
      </c>
      <c r="B662" s="2">
        <v>494.0</v>
      </c>
      <c r="C662" s="2">
        <v>14.0</v>
      </c>
      <c r="D662" s="2" t="s">
        <v>1130</v>
      </c>
      <c r="E662" s="2" t="s">
        <v>2487</v>
      </c>
      <c r="H662" s="2">
        <v>1.0</v>
      </c>
      <c r="I662" s="2">
        <v>0.0</v>
      </c>
      <c r="J662" s="20"/>
      <c r="K662" s="8" t="str">
        <f t="shared" si="1"/>
        <v>CALL InsertOrUpdateAtributosProductos ('3941','494','14','CAPACIDAD','1/4 kg','1','0');</v>
      </c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">
        <v>3942.0</v>
      </c>
      <c r="B663" s="2">
        <v>494.0</v>
      </c>
      <c r="C663" s="2">
        <v>14.0</v>
      </c>
      <c r="D663" s="2" t="s">
        <v>1130</v>
      </c>
      <c r="E663" s="2" t="s">
        <v>2488</v>
      </c>
      <c r="H663" s="2">
        <v>2.0</v>
      </c>
      <c r="I663" s="2">
        <v>0.0</v>
      </c>
      <c r="J663" s="20"/>
      <c r="K663" s="8" t="str">
        <f t="shared" si="1"/>
        <v>CALL InsertOrUpdateAtributosProductos ('3942','494','14','CAPACIDAD','1/2 kg','2','0');</v>
      </c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">
        <v>3943.0</v>
      </c>
      <c r="B664" s="2">
        <v>494.0</v>
      </c>
      <c r="C664" s="2">
        <v>14.0</v>
      </c>
      <c r="D664" s="2" t="s">
        <v>1130</v>
      </c>
      <c r="E664" s="2" t="s">
        <v>2489</v>
      </c>
      <c r="H664" s="2">
        <v>3.0</v>
      </c>
      <c r="I664" s="2">
        <v>0.0</v>
      </c>
      <c r="J664" s="20"/>
      <c r="K664" s="8" t="str">
        <f t="shared" si="1"/>
        <v>CALL InsertOrUpdateAtributosProductos ('3943','494','14','CAPACIDAD','1 kg','3','0');</v>
      </c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">
        <v>3944.0</v>
      </c>
      <c r="B665" s="2">
        <v>495.0</v>
      </c>
      <c r="C665" s="2">
        <v>3.0</v>
      </c>
      <c r="D665" s="2" t="s">
        <v>263</v>
      </c>
      <c r="E665" s="2" t="s">
        <v>2490</v>
      </c>
      <c r="H665" s="2">
        <v>1.0</v>
      </c>
      <c r="I665" s="2">
        <v>0.0</v>
      </c>
      <c r="J665" s="20"/>
      <c r="K665" s="8" t="str">
        <f t="shared" si="1"/>
        <v>CALL InsertOrUpdateAtributosProductos ('3944','495','3','MEDIDAS','20 x 25 cm','1','0');</v>
      </c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">
        <v>3945.0</v>
      </c>
      <c r="B666" s="2">
        <v>495.0</v>
      </c>
      <c r="C666" s="2">
        <v>3.0</v>
      </c>
      <c r="D666" s="2" t="s">
        <v>263</v>
      </c>
      <c r="E666" s="2" t="s">
        <v>2491</v>
      </c>
      <c r="H666" s="2">
        <v>2.0</v>
      </c>
      <c r="I666" s="2">
        <v>0.0</v>
      </c>
      <c r="J666" s="20"/>
      <c r="K666" s="8" t="str">
        <f t="shared" si="1"/>
        <v>CALL InsertOrUpdateAtributosProductos ('3945','495','3','MEDIDAS','25 x 35 cm','2','0');</v>
      </c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">
        <v>3946.0</v>
      </c>
      <c r="B667" s="2">
        <v>495.0</v>
      </c>
      <c r="C667" s="2">
        <v>3.0</v>
      </c>
      <c r="D667" s="2" t="s">
        <v>263</v>
      </c>
      <c r="E667" s="2" t="s">
        <v>2147</v>
      </c>
      <c r="H667" s="2">
        <v>3.0</v>
      </c>
      <c r="I667" s="2">
        <v>0.0</v>
      </c>
      <c r="J667" s="20"/>
      <c r="K667" s="8" t="str">
        <f t="shared" si="1"/>
        <v>CALL InsertOrUpdateAtributosProductos ('3946','495','3','MEDIDAS','40 x 50 cm','3','0');</v>
      </c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">
        <v>3947.0</v>
      </c>
      <c r="B668" s="2">
        <v>495.0</v>
      </c>
      <c r="C668" s="2">
        <v>3.0</v>
      </c>
      <c r="D668" s="2" t="s">
        <v>263</v>
      </c>
      <c r="E668" s="2" t="s">
        <v>2492</v>
      </c>
      <c r="H668" s="2">
        <v>4.0</v>
      </c>
      <c r="I668" s="2">
        <v>0.0</v>
      </c>
      <c r="J668" s="20"/>
      <c r="K668" s="8" t="str">
        <f t="shared" si="1"/>
        <v>CALL InsertOrUpdateAtributosProductos ('3947','495','3','MEDIDAS','60 x 80 cm','4','0');</v>
      </c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">
        <v>3948.0</v>
      </c>
      <c r="B669" s="2">
        <v>496.0</v>
      </c>
      <c r="C669" s="2">
        <v>3.0</v>
      </c>
      <c r="D669" s="2" t="s">
        <v>263</v>
      </c>
      <c r="E669" s="2" t="s">
        <v>2493</v>
      </c>
      <c r="H669" s="2">
        <v>1.0</v>
      </c>
      <c r="I669" s="2">
        <v>0.0</v>
      </c>
      <c r="J669" s="20"/>
      <c r="K669" s="8" t="str">
        <f t="shared" si="1"/>
        <v>CALL InsertOrUpdateAtributosProductos ('3948','496','3','MEDIDAS','14 x 14 cm','1','0');</v>
      </c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">
        <v>3949.0</v>
      </c>
      <c r="B670" s="2">
        <v>497.0</v>
      </c>
      <c r="C670" s="2">
        <v>3.0</v>
      </c>
      <c r="D670" s="2" t="s">
        <v>263</v>
      </c>
      <c r="E670" s="2" t="s">
        <v>2494</v>
      </c>
      <c r="H670" s="2">
        <v>1.0</v>
      </c>
      <c r="I670" s="2">
        <v>0.0</v>
      </c>
      <c r="J670" s="20"/>
      <c r="K670" s="8" t="str">
        <f t="shared" si="1"/>
        <v>CALL InsertOrUpdateAtributosProductos ('3949','497','3','MEDIDAS','28 cm x 100 mts','1','0');</v>
      </c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">
        <v>3950.0</v>
      </c>
      <c r="B671" s="2">
        <v>497.0</v>
      </c>
      <c r="C671" s="2">
        <v>3.0</v>
      </c>
      <c r="D671" s="2" t="s">
        <v>263</v>
      </c>
      <c r="E671" s="2" t="s">
        <v>2495</v>
      </c>
      <c r="H671" s="2">
        <v>2.0</v>
      </c>
      <c r="I671" s="2">
        <v>0.0</v>
      </c>
      <c r="J671" s="20"/>
      <c r="K671" s="8" t="str">
        <f t="shared" si="1"/>
        <v>CALL InsertOrUpdateAtributosProductos ('3950','497','3','MEDIDAS','38 cm x 200 mts','2','0');</v>
      </c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">
        <v>3951.0</v>
      </c>
      <c r="B672" s="2">
        <v>497.0</v>
      </c>
      <c r="C672" s="2">
        <v>3.0</v>
      </c>
      <c r="D672" s="2" t="s">
        <v>263</v>
      </c>
      <c r="E672" s="2" t="s">
        <v>2496</v>
      </c>
      <c r="H672" s="2">
        <v>3.0</v>
      </c>
      <c r="I672" s="2">
        <v>0.0</v>
      </c>
      <c r="J672" s="20"/>
      <c r="K672" s="8" t="str">
        <f t="shared" si="1"/>
        <v>CALL InsertOrUpdateAtributosProductos ('3951','497','3','MEDIDAS','38 cm x 300 mts','3','0');</v>
      </c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">
        <v>3952.0</v>
      </c>
      <c r="B673" s="2">
        <v>497.0</v>
      </c>
      <c r="C673" s="2">
        <v>3.0</v>
      </c>
      <c r="D673" s="2" t="s">
        <v>263</v>
      </c>
      <c r="E673" s="2" t="s">
        <v>2497</v>
      </c>
      <c r="H673" s="2">
        <v>4.0</v>
      </c>
      <c r="I673" s="2">
        <v>0.0</v>
      </c>
      <c r="J673" s="20"/>
      <c r="K673" s="8" t="str">
        <f t="shared" si="1"/>
        <v>CALL InsertOrUpdateAtributosProductos ('3952','497','3','MEDIDAS','30 cm x 600 mts','4','0');</v>
      </c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">
        <v>3953.0</v>
      </c>
      <c r="B674" s="2">
        <v>497.0</v>
      </c>
      <c r="C674" s="2">
        <v>3.0</v>
      </c>
      <c r="D674" s="2" t="s">
        <v>263</v>
      </c>
      <c r="E674" s="2" t="s">
        <v>2498</v>
      </c>
      <c r="H674" s="2">
        <v>5.0</v>
      </c>
      <c r="I674" s="2">
        <v>0.0</v>
      </c>
      <c r="K674" s="8" t="str">
        <f t="shared" si="1"/>
        <v>CALL InsertOrUpdateAtributosProductos ('3953','497','3','MEDIDAS','38 cm x 600 mts','5','0');</v>
      </c>
    </row>
    <row r="675">
      <c r="A675" s="2">
        <v>3954.0</v>
      </c>
      <c r="B675" s="2">
        <v>497.0</v>
      </c>
      <c r="C675" s="2">
        <v>3.0</v>
      </c>
      <c r="D675" s="2" t="s">
        <v>263</v>
      </c>
      <c r="E675" s="2" t="s">
        <v>2499</v>
      </c>
      <c r="H675" s="2">
        <v>6.0</v>
      </c>
      <c r="I675" s="2">
        <v>0.0</v>
      </c>
      <c r="K675" s="8" t="str">
        <f t="shared" si="1"/>
        <v>CALL InsertOrUpdateAtributosProductos ('3954','497','3','MEDIDAS','45 cm x 600 mts','6','0');</v>
      </c>
    </row>
    <row r="676">
      <c r="A676" s="2">
        <v>3955.0</v>
      </c>
      <c r="B676" s="2">
        <v>497.0</v>
      </c>
      <c r="C676" s="2">
        <v>3.0</v>
      </c>
      <c r="D676" s="2" t="s">
        <v>263</v>
      </c>
      <c r="E676" s="2" t="s">
        <v>2500</v>
      </c>
      <c r="H676" s="2">
        <v>7.0</v>
      </c>
      <c r="I676" s="2">
        <v>0.0</v>
      </c>
      <c r="K676" s="8" t="str">
        <f t="shared" si="1"/>
        <v>CALL InsertOrUpdateAtributosProductos ('3955','497','3','MEDIDAS','30 cm x 1000 mts','7','0');</v>
      </c>
    </row>
    <row r="677">
      <c r="A677" s="2">
        <v>3956.0</v>
      </c>
      <c r="B677" s="2">
        <v>497.0</v>
      </c>
      <c r="C677" s="2">
        <v>3.0</v>
      </c>
      <c r="D677" s="2" t="s">
        <v>263</v>
      </c>
      <c r="E677" s="2" t="s">
        <v>2501</v>
      </c>
      <c r="H677" s="2">
        <v>8.0</v>
      </c>
      <c r="I677" s="2">
        <v>0.0</v>
      </c>
      <c r="K677" s="8" t="str">
        <f t="shared" si="1"/>
        <v>CALL InsertOrUpdateAtributosProductos ('3956','497','3','MEDIDAS','38 cm x 1000 mts','8','0');</v>
      </c>
    </row>
    <row r="678">
      <c r="A678" s="2">
        <v>3957.0</v>
      </c>
      <c r="B678" s="2">
        <v>497.0</v>
      </c>
      <c r="C678" s="2">
        <v>3.0</v>
      </c>
      <c r="D678" s="2" t="s">
        <v>263</v>
      </c>
      <c r="E678" s="2" t="s">
        <v>2502</v>
      </c>
      <c r="H678" s="2">
        <v>9.0</v>
      </c>
      <c r="I678" s="2">
        <v>0.0</v>
      </c>
      <c r="K678" s="8" t="str">
        <f t="shared" si="1"/>
        <v>CALL InsertOrUpdateAtributosProductos ('3957','497','3','MEDIDAS','45 cm x 1000 mts','9','0');</v>
      </c>
    </row>
    <row r="679">
      <c r="A679" s="2">
        <v>3958.0</v>
      </c>
      <c r="B679" s="2">
        <v>499.0</v>
      </c>
      <c r="C679" s="2">
        <v>3.0</v>
      </c>
      <c r="D679" s="2" t="s">
        <v>263</v>
      </c>
      <c r="E679" s="2" t="s">
        <v>2503</v>
      </c>
      <c r="H679" s="2">
        <v>1.0</v>
      </c>
      <c r="I679" s="2">
        <v>0.0</v>
      </c>
      <c r="K679" s="8" t="str">
        <f t="shared" si="1"/>
        <v>CALL InsertOrUpdateAtributosProductos ('3958','499','3','MEDIDAS','30 metros por 24 unidades','1','0');</v>
      </c>
    </row>
    <row r="680">
      <c r="A680" s="2">
        <v>3959.0</v>
      </c>
      <c r="B680" s="2">
        <v>499.0</v>
      </c>
      <c r="C680" s="2">
        <v>3.0</v>
      </c>
      <c r="D680" s="2" t="s">
        <v>263</v>
      </c>
      <c r="E680" s="2" t="s">
        <v>2504</v>
      </c>
      <c r="H680" s="2">
        <v>2.0</v>
      </c>
      <c r="I680" s="2">
        <v>0.0</v>
      </c>
      <c r="K680" s="8" t="str">
        <f t="shared" si="1"/>
        <v>CALL InsertOrUpdateAtributosProductos ('3959','499','3','MEDIDAS','50 metros por 24 unidades','2','0');</v>
      </c>
    </row>
    <row r="681">
      <c r="A681" s="2">
        <v>3960.0</v>
      </c>
      <c r="B681" s="2">
        <v>499.0</v>
      </c>
      <c r="C681" s="2">
        <v>3.0</v>
      </c>
      <c r="D681" s="2" t="s">
        <v>263</v>
      </c>
      <c r="E681" s="2" t="s">
        <v>2505</v>
      </c>
      <c r="H681" s="2">
        <v>3.0</v>
      </c>
      <c r="I681" s="2">
        <v>0.0</v>
      </c>
      <c r="K681" s="8" t="str">
        <f t="shared" si="1"/>
        <v>CALL InsertOrUpdateAtributosProductos ('3960','499','3','MEDIDAS','80 metros por 24 unidades','3','0');</v>
      </c>
    </row>
    <row r="682" ht="13.5" customHeight="1">
      <c r="A682" s="2">
        <v>3961.0</v>
      </c>
      <c r="B682" s="2">
        <v>499.0</v>
      </c>
      <c r="C682" s="2">
        <v>3.0</v>
      </c>
      <c r="D682" s="2" t="s">
        <v>263</v>
      </c>
      <c r="E682" s="2" t="s">
        <v>2506</v>
      </c>
      <c r="H682" s="2">
        <v>4.0</v>
      </c>
      <c r="I682" s="2">
        <v>0.0</v>
      </c>
      <c r="K682" s="8" t="str">
        <f t="shared" si="1"/>
        <v>CALL InsertOrUpdateAtributosProductos ('3961','499','3','MEDIDAS','300 metros por 8 unidades','4','0');</v>
      </c>
    </row>
    <row r="683">
      <c r="A683" s="2">
        <v>3962.0</v>
      </c>
      <c r="B683" s="2">
        <v>500.0</v>
      </c>
      <c r="C683" s="2">
        <v>3.0</v>
      </c>
      <c r="D683" s="2" t="s">
        <v>263</v>
      </c>
      <c r="E683" s="2" t="s">
        <v>2507</v>
      </c>
      <c r="H683" s="2">
        <v>1.0</v>
      </c>
      <c r="I683" s="2">
        <v>0.0</v>
      </c>
      <c r="K683" s="8" t="str">
        <f t="shared" si="1"/>
        <v>CALL InsertOrUpdateAtributosProductos ('3962','500','3','MEDIDAS','20 metros por 48 unidades','1','0');</v>
      </c>
    </row>
    <row r="684">
      <c r="A684" s="2">
        <v>3963.0</v>
      </c>
      <c r="B684" s="2">
        <v>500.0</v>
      </c>
      <c r="C684" s="2">
        <v>3.0</v>
      </c>
      <c r="D684" s="2" t="s">
        <v>263</v>
      </c>
      <c r="E684" s="2" t="s">
        <v>2503</v>
      </c>
      <c r="H684" s="2">
        <v>2.0</v>
      </c>
      <c r="I684" s="2">
        <v>0.0</v>
      </c>
      <c r="K684" s="8" t="str">
        <f t="shared" si="1"/>
        <v>CALL InsertOrUpdateAtributosProductos ('3963','500','3','MEDIDAS','30 metros por 24 unidades','2','0');</v>
      </c>
    </row>
    <row r="685" ht="13.5" customHeight="1">
      <c r="A685" s="2">
        <v>3964.0</v>
      </c>
      <c r="B685" s="2">
        <v>502.0</v>
      </c>
      <c r="C685" s="2">
        <v>8.0</v>
      </c>
      <c r="D685" s="2" t="s">
        <v>581</v>
      </c>
      <c r="E685" s="2" t="s">
        <v>2508</v>
      </c>
      <c r="H685" s="2">
        <v>1.0</v>
      </c>
      <c r="I685" s="2">
        <v>0.0</v>
      </c>
      <c r="K685" s="8" t="str">
        <f t="shared" si="1"/>
        <v>CALL InsertOrUpdateAtributosProductos ('3964','502','8','COLOR','Beige','1','0');</v>
      </c>
    </row>
    <row r="686">
      <c r="A686" s="2">
        <v>3965.0</v>
      </c>
      <c r="B686" s="2">
        <v>502.0</v>
      </c>
      <c r="C686" s="2">
        <v>8.0</v>
      </c>
      <c r="D686" s="2" t="s">
        <v>581</v>
      </c>
      <c r="E686" s="2" t="s">
        <v>2509</v>
      </c>
      <c r="H686" s="2">
        <v>2.0</v>
      </c>
      <c r="I686" s="2">
        <v>0.0</v>
      </c>
      <c r="K686" s="8" t="str">
        <f t="shared" si="1"/>
        <v>CALL InsertOrUpdateAtributosProductos ('3965','502','8','COLOR','Blanca','2','0');</v>
      </c>
    </row>
    <row r="687">
      <c r="A687" s="2">
        <v>3966.0</v>
      </c>
      <c r="B687" s="2">
        <v>503.0</v>
      </c>
      <c r="C687" s="2">
        <v>3.0</v>
      </c>
      <c r="D687" s="2" t="s">
        <v>263</v>
      </c>
      <c r="E687" s="2" t="s">
        <v>2510</v>
      </c>
      <c r="H687" s="2">
        <v>1.0</v>
      </c>
      <c r="I687" s="2">
        <v>0.0</v>
      </c>
      <c r="K687" s="8" t="str">
        <f t="shared" si="1"/>
        <v>CALL InsertOrUpdateAtributosProductos ('3966','503','3','MEDIDAS','N° 1L: 17x7 cm','1','0');</v>
      </c>
    </row>
    <row r="688" ht="13.5" customHeight="1">
      <c r="A688" s="2">
        <v>3967.0</v>
      </c>
      <c r="B688" s="2">
        <v>503.0</v>
      </c>
      <c r="C688" s="2">
        <v>3.0</v>
      </c>
      <c r="D688" s="2" t="s">
        <v>263</v>
      </c>
      <c r="E688" s="2" t="s">
        <v>2511</v>
      </c>
      <c r="H688" s="2">
        <v>2.0</v>
      </c>
      <c r="I688" s="2">
        <v>0.0</v>
      </c>
      <c r="K688" s="8" t="str">
        <f t="shared" si="1"/>
        <v>CALL InsertOrUpdateAtributosProductos ('3967','503','3','MEDIDAS','N° 2L: 25x9 cm','2','0');</v>
      </c>
    </row>
    <row r="689" ht="13.5" customHeight="1">
      <c r="A689" s="2">
        <v>3968.0</v>
      </c>
      <c r="B689" s="2">
        <v>503.0</v>
      </c>
      <c r="C689" s="2">
        <v>3.0</v>
      </c>
      <c r="D689" s="2" t="s">
        <v>263</v>
      </c>
      <c r="E689" s="2" t="s">
        <v>2512</v>
      </c>
      <c r="H689" s="2">
        <v>3.0</v>
      </c>
      <c r="I689" s="2">
        <v>0.0</v>
      </c>
      <c r="K689" s="8" t="str">
        <f t="shared" si="1"/>
        <v>CALL InsertOrUpdateAtributosProductos ('3968','503','3','MEDIDAS','N° 3L: 27x12 cm','3','0');</v>
      </c>
    </row>
    <row r="690" ht="13.5" customHeight="1">
      <c r="A690" s="2">
        <v>3969.0</v>
      </c>
      <c r="B690" s="2">
        <v>503.0</v>
      </c>
      <c r="C690" s="2">
        <v>3.0</v>
      </c>
      <c r="D690" s="2" t="s">
        <v>263</v>
      </c>
      <c r="E690" s="2" t="s">
        <v>2513</v>
      </c>
      <c r="H690" s="2">
        <v>4.0</v>
      </c>
      <c r="I690" s="2">
        <v>0.0</v>
      </c>
      <c r="K690" s="8" t="str">
        <f t="shared" si="1"/>
        <v>CALL InsertOrUpdateAtributosProductos ('3969','503','3','MEDIDAS','N° 4A: 25x15 cm','4','0');</v>
      </c>
    </row>
    <row r="691">
      <c r="A691" s="2">
        <v>3970.0</v>
      </c>
      <c r="B691" s="2">
        <v>503.0</v>
      </c>
      <c r="C691" s="2">
        <v>3.0</v>
      </c>
      <c r="D691" s="2" t="s">
        <v>263</v>
      </c>
      <c r="E691" s="2" t="s">
        <v>2514</v>
      </c>
      <c r="H691" s="2">
        <v>5.0</v>
      </c>
      <c r="I691" s="2">
        <v>0.0</v>
      </c>
      <c r="K691" s="8" t="str">
        <f t="shared" si="1"/>
        <v>CALL InsertOrUpdateAtributosProductos ('3970','503','3','MEDIDAS','N° 5: 31x13 cm','5','0');</v>
      </c>
    </row>
    <row r="692" ht="13.5" customHeight="1">
      <c r="A692" s="2">
        <v>3971.0</v>
      </c>
      <c r="B692" s="2">
        <v>503.0</v>
      </c>
      <c r="C692" s="2">
        <v>3.0</v>
      </c>
      <c r="D692" s="2" t="s">
        <v>263</v>
      </c>
      <c r="E692" s="2" t="s">
        <v>2515</v>
      </c>
      <c r="H692" s="2">
        <v>6.0</v>
      </c>
      <c r="I692" s="2">
        <v>0.0</v>
      </c>
      <c r="K692" s="8" t="str">
        <f t="shared" si="1"/>
        <v>CALL InsertOrUpdateAtributosProductos ('3971','503','3','MEDIDAS','N° 6L: 34x15 cm','6','0');</v>
      </c>
    </row>
    <row r="693" ht="13.5" customHeight="1">
      <c r="A693" s="2">
        <v>3972.0</v>
      </c>
      <c r="B693" s="2">
        <v>503.0</v>
      </c>
      <c r="C693" s="2">
        <v>3.0</v>
      </c>
      <c r="D693" s="2" t="s">
        <v>263</v>
      </c>
      <c r="E693" s="2" t="s">
        <v>2516</v>
      </c>
      <c r="H693" s="2">
        <v>7.0</v>
      </c>
      <c r="I693" s="2">
        <v>0.0</v>
      </c>
      <c r="K693" s="8" t="str">
        <f t="shared" si="1"/>
        <v>CALL InsertOrUpdateAtributosProductos ('3972','503','3','MEDIDAS','N° 7: 34x19 cm','7','0');</v>
      </c>
    </row>
    <row r="694" ht="13.5" customHeight="1">
      <c r="A694" s="2">
        <v>3973.0</v>
      </c>
      <c r="B694" s="2">
        <v>503.0</v>
      </c>
      <c r="C694" s="2">
        <v>3.0</v>
      </c>
      <c r="D694" s="2" t="s">
        <v>263</v>
      </c>
      <c r="E694" s="2" t="s">
        <v>2517</v>
      </c>
      <c r="H694" s="2">
        <v>8.0</v>
      </c>
      <c r="I694" s="2">
        <v>0.0</v>
      </c>
      <c r="K694" s="8" t="str">
        <f t="shared" si="1"/>
        <v>CALL InsertOrUpdateAtributosProductos ('3973','503','3','MEDIDAS','N° 8: 42x19 cm','8','0');</v>
      </c>
    </row>
    <row r="695">
      <c r="A695" s="2">
        <v>3974.0</v>
      </c>
      <c r="B695" s="2">
        <v>503.0</v>
      </c>
      <c r="C695" s="2">
        <v>3.0</v>
      </c>
      <c r="D695" s="2" t="s">
        <v>263</v>
      </c>
      <c r="E695" s="2" t="s">
        <v>2518</v>
      </c>
      <c r="H695" s="2">
        <v>9.0</v>
      </c>
      <c r="I695" s="2">
        <v>0.0</v>
      </c>
      <c r="K695" s="8" t="str">
        <f t="shared" si="1"/>
        <v>CALL InsertOrUpdateAtributosProductos ('3974','503','3','MEDIDAS','N° 9: 49x19 cm','9','0');</v>
      </c>
    </row>
    <row r="696" ht="13.5" customHeight="1">
      <c r="A696" s="2">
        <v>3975.0</v>
      </c>
      <c r="B696" s="2">
        <v>503.0</v>
      </c>
      <c r="C696" s="2">
        <v>3.0</v>
      </c>
      <c r="D696" s="2" t="s">
        <v>263</v>
      </c>
      <c r="E696" s="2" t="s">
        <v>2519</v>
      </c>
      <c r="H696" s="2">
        <v>10.0</v>
      </c>
      <c r="I696" s="2">
        <v>0.0</v>
      </c>
      <c r="K696" s="8" t="str">
        <f t="shared" si="1"/>
        <v>CALL InsertOrUpdateAtributosProductos ('3975','503','3','MEDIDAS','N° 10: 40x24 cm','10','0');</v>
      </c>
    </row>
    <row r="697" ht="13.5" customHeight="1">
      <c r="A697" s="2">
        <v>3976.0</v>
      </c>
      <c r="B697" s="2">
        <v>504.0</v>
      </c>
      <c r="C697" s="2">
        <v>8.0</v>
      </c>
      <c r="D697" s="2" t="s">
        <v>581</v>
      </c>
      <c r="E697" s="2" t="s">
        <v>2509</v>
      </c>
      <c r="H697" s="2">
        <v>1.0</v>
      </c>
      <c r="I697" s="2">
        <v>0.0</v>
      </c>
      <c r="K697" s="8" t="str">
        <f t="shared" si="1"/>
        <v>CALL InsertOrUpdateAtributosProductos ('3976','504','8','COLOR','Blanca','1','0');</v>
      </c>
    </row>
    <row r="698" ht="13.5" customHeight="1">
      <c r="A698" s="2">
        <v>3977.0</v>
      </c>
      <c r="B698" s="2">
        <v>504.0</v>
      </c>
      <c r="C698" s="2">
        <v>8.0</v>
      </c>
      <c r="D698" s="2" t="s">
        <v>581</v>
      </c>
      <c r="E698" s="2" t="s">
        <v>91</v>
      </c>
      <c r="H698" s="2">
        <v>2.0</v>
      </c>
      <c r="I698" s="2">
        <v>0.0</v>
      </c>
      <c r="K698" s="8" t="str">
        <f t="shared" si="1"/>
        <v>CALL InsertOrUpdateAtributosProductos ('3977','504','8','COLOR','Madera','2','0');</v>
      </c>
    </row>
    <row r="699">
      <c r="A699" s="2">
        <v>3978.0</v>
      </c>
      <c r="B699" s="2">
        <v>504.0</v>
      </c>
      <c r="C699" s="2">
        <v>8.0</v>
      </c>
      <c r="D699" s="2" t="s">
        <v>581</v>
      </c>
      <c r="E699" s="2" t="s">
        <v>2520</v>
      </c>
      <c r="H699" s="2">
        <v>3.0</v>
      </c>
      <c r="I699" s="2">
        <v>0.0</v>
      </c>
      <c r="K699" s="8" t="str">
        <f t="shared" si="1"/>
        <v>CALL InsertOrUpdateAtributosProductos ('3978','504','8','COLOR','Color','3','0');</v>
      </c>
    </row>
    <row r="700" ht="13.5" customHeight="1">
      <c r="A700" s="2">
        <v>3979.0</v>
      </c>
      <c r="B700" s="2">
        <v>504.0</v>
      </c>
      <c r="C700" s="2">
        <v>3.0</v>
      </c>
      <c r="D700" s="2" t="s">
        <v>263</v>
      </c>
      <c r="E700" s="2" t="s">
        <v>2521</v>
      </c>
      <c r="H700" s="2">
        <v>1.0</v>
      </c>
      <c r="I700" s="2">
        <v>0.0</v>
      </c>
      <c r="K700" s="8" t="str">
        <f t="shared" si="1"/>
        <v>CALL InsertOrUpdateAtributosProductos ('3979','504','3','MEDIDAS','14 x 20 cm','1','0');</v>
      </c>
    </row>
    <row r="701" ht="13.5" customHeight="1">
      <c r="A701" s="2">
        <v>3980.0</v>
      </c>
      <c r="B701" s="2">
        <v>504.0</v>
      </c>
      <c r="C701" s="2">
        <v>3.0</v>
      </c>
      <c r="D701" s="2" t="s">
        <v>263</v>
      </c>
      <c r="E701" s="2" t="s">
        <v>2522</v>
      </c>
      <c r="H701" s="2">
        <v>2.0</v>
      </c>
      <c r="I701" s="2">
        <v>0.0</v>
      </c>
      <c r="K701" s="8" t="str">
        <f t="shared" si="1"/>
        <v>CALL InsertOrUpdateAtributosProductos ('3980','504','3','MEDIDAS','14 x 26 cm','2','0');</v>
      </c>
    </row>
    <row r="702" ht="13.5" customHeight="1">
      <c r="A702" s="2">
        <v>3981.0</v>
      </c>
      <c r="B702" s="2">
        <v>504.0</v>
      </c>
      <c r="C702" s="2">
        <v>3.0</v>
      </c>
      <c r="D702" s="2" t="s">
        <v>263</v>
      </c>
      <c r="E702" s="2" t="s">
        <v>2523</v>
      </c>
      <c r="H702" s="2">
        <v>3.0</v>
      </c>
      <c r="I702" s="2">
        <v>0.0</v>
      </c>
      <c r="K702" s="8" t="str">
        <f t="shared" si="1"/>
        <v>CALL InsertOrUpdateAtributosProductos ('3981','504','3','MEDIDAS','22 x 30 cm','3','0');</v>
      </c>
    </row>
    <row r="703">
      <c r="A703" s="2">
        <v>3982.0</v>
      </c>
      <c r="B703" s="2">
        <v>504.0</v>
      </c>
      <c r="C703" s="2">
        <v>3.0</v>
      </c>
      <c r="D703" s="2" t="s">
        <v>263</v>
      </c>
      <c r="E703" s="2" t="s">
        <v>2524</v>
      </c>
      <c r="H703" s="2">
        <v>4.0</v>
      </c>
      <c r="I703" s="2">
        <v>0.0</v>
      </c>
      <c r="K703" s="8" t="str">
        <f t="shared" si="1"/>
        <v>CALL InsertOrUpdateAtributosProductos ('3982','504','3','MEDIDAS','26 x 30 cm','4','0');</v>
      </c>
    </row>
    <row r="704" ht="13.5" customHeight="1">
      <c r="A704" s="2">
        <v>3983.0</v>
      </c>
      <c r="B704" s="2">
        <v>504.0</v>
      </c>
      <c r="C704" s="2">
        <v>3.0</v>
      </c>
      <c r="D704" s="2" t="s">
        <v>263</v>
      </c>
      <c r="E704" s="2" t="s">
        <v>2525</v>
      </c>
      <c r="H704" s="2">
        <v>5.0</v>
      </c>
      <c r="I704" s="2">
        <v>0.0</v>
      </c>
      <c r="K704" s="8" t="str">
        <f t="shared" si="1"/>
        <v>CALL InsertOrUpdateAtributosProductos ('3983','504','3','MEDIDAS','30 x 32 cm','5','0');</v>
      </c>
    </row>
    <row r="705" ht="13.5" customHeight="1">
      <c r="A705" s="2">
        <v>3984.0</v>
      </c>
      <c r="B705" s="2">
        <v>504.0</v>
      </c>
      <c r="C705" s="2">
        <v>3.0</v>
      </c>
      <c r="D705" s="2" t="s">
        <v>263</v>
      </c>
      <c r="E705" s="2" t="s">
        <v>2526</v>
      </c>
      <c r="H705" s="2">
        <v>6.0</v>
      </c>
      <c r="I705" s="2">
        <v>0.0</v>
      </c>
      <c r="K705" s="8" t="str">
        <f t="shared" si="1"/>
        <v>CALL InsertOrUpdateAtributosProductos ('3984','504','3','MEDIDAS','30 x 41 cm','6','0');</v>
      </c>
    </row>
    <row r="706">
      <c r="A706" s="2">
        <v>3985.0</v>
      </c>
      <c r="B706" s="2">
        <v>504.0</v>
      </c>
      <c r="C706" s="2">
        <v>3.0</v>
      </c>
      <c r="D706" s="2" t="s">
        <v>263</v>
      </c>
      <c r="E706" s="2" t="s">
        <v>2527</v>
      </c>
      <c r="H706" s="2">
        <v>7.0</v>
      </c>
      <c r="I706" s="2">
        <v>0.0</v>
      </c>
      <c r="K706" s="8" t="str">
        <f t="shared" si="1"/>
        <v>CALL InsertOrUpdateAtributosProductos ('3985','504','3','MEDIDAS','45 x 48 cm','7','0');</v>
      </c>
    </row>
    <row r="707" ht="13.5" customHeight="1">
      <c r="A707" s="2">
        <v>3986.0</v>
      </c>
      <c r="B707" s="2">
        <v>505.0</v>
      </c>
      <c r="C707" s="2">
        <v>3.0</v>
      </c>
      <c r="D707" s="2" t="s">
        <v>263</v>
      </c>
      <c r="E707" s="2" t="s">
        <v>2528</v>
      </c>
      <c r="H707" s="2">
        <v>1.0</v>
      </c>
      <c r="I707" s="2">
        <v>0.0</v>
      </c>
      <c r="K707" s="8" t="str">
        <f t="shared" si="1"/>
        <v>CALL InsertOrUpdateAtributosProductos ('3986','505','3','MEDIDAS','20 x 20 x 10cm','1','0');</v>
      </c>
    </row>
    <row r="708" ht="13.5" customHeight="1">
      <c r="A708" s="2">
        <v>3987.0</v>
      </c>
      <c r="B708" s="2">
        <v>505.0</v>
      </c>
      <c r="C708" s="2">
        <v>3.0</v>
      </c>
      <c r="D708" s="2" t="s">
        <v>263</v>
      </c>
      <c r="E708" s="2" t="s">
        <v>2529</v>
      </c>
      <c r="H708" s="2">
        <v>2.0</v>
      </c>
      <c r="I708" s="2">
        <v>0.0</v>
      </c>
      <c r="K708" s="8" t="str">
        <f t="shared" si="1"/>
        <v>CALL InsertOrUpdateAtributosProductos ('3987','505','3','MEDIDAS','20 x 20 x 20cm','2','0');</v>
      </c>
    </row>
    <row r="709">
      <c r="A709" s="2">
        <v>3988.0</v>
      </c>
      <c r="B709" s="2">
        <v>505.0</v>
      </c>
      <c r="C709" s="2">
        <v>3.0</v>
      </c>
      <c r="D709" s="2" t="s">
        <v>263</v>
      </c>
      <c r="E709" s="2" t="s">
        <v>2530</v>
      </c>
      <c r="H709" s="2">
        <v>3.0</v>
      </c>
      <c r="I709" s="2">
        <v>0.0</v>
      </c>
      <c r="K709" s="8" t="str">
        <f t="shared" si="1"/>
        <v>CALL InsertOrUpdateAtributosProductos ('3988','505','3','MEDIDAS','30 x 20 x 20cm','3','0');</v>
      </c>
    </row>
    <row r="710" ht="13.5" customHeight="1">
      <c r="A710" s="2">
        <v>3989.0</v>
      </c>
      <c r="B710" s="2">
        <v>505.0</v>
      </c>
      <c r="C710" s="2">
        <v>3.0</v>
      </c>
      <c r="D710" s="2" t="s">
        <v>263</v>
      </c>
      <c r="E710" s="2" t="s">
        <v>2531</v>
      </c>
      <c r="H710" s="2">
        <v>4.0</v>
      </c>
      <c r="I710" s="2">
        <v>0.0</v>
      </c>
      <c r="K710" s="8" t="str">
        <f t="shared" si="1"/>
        <v>CALL InsertOrUpdateAtributosProductos ('3989','505','3','MEDIDAS','30 x 30 x 20cm','4','0');</v>
      </c>
    </row>
    <row r="711" ht="13.5" customHeight="1">
      <c r="A711" s="2">
        <v>3990.0</v>
      </c>
      <c r="B711" s="2">
        <v>505.0</v>
      </c>
      <c r="C711" s="2">
        <v>3.0</v>
      </c>
      <c r="D711" s="2" t="s">
        <v>263</v>
      </c>
      <c r="E711" s="2" t="s">
        <v>2532</v>
      </c>
      <c r="H711" s="2">
        <v>5.0</v>
      </c>
      <c r="I711" s="2">
        <v>0.0</v>
      </c>
      <c r="K711" s="8" t="str">
        <f t="shared" si="1"/>
        <v>CALL InsertOrUpdateAtributosProductos ('3990','505','3','MEDIDAS','30 x 30 x 30cm','5','0');</v>
      </c>
    </row>
    <row r="712">
      <c r="A712" s="2">
        <v>3991.0</v>
      </c>
      <c r="B712" s="2">
        <v>505.0</v>
      </c>
      <c r="C712" s="2">
        <v>3.0</v>
      </c>
      <c r="D712" s="2" t="s">
        <v>263</v>
      </c>
      <c r="E712" s="2" t="s">
        <v>2533</v>
      </c>
      <c r="H712" s="2">
        <v>6.0</v>
      </c>
      <c r="I712" s="2">
        <v>0.0</v>
      </c>
      <c r="K712" s="8" t="str">
        <f t="shared" si="1"/>
        <v>CALL InsertOrUpdateAtributosProductos ('3991','505','3','MEDIDAS','35 x 15 x 15cm','6','0');</v>
      </c>
    </row>
    <row r="713" ht="13.5" customHeight="1">
      <c r="A713" s="2">
        <v>3992.0</v>
      </c>
      <c r="B713" s="2">
        <v>505.0</v>
      </c>
      <c r="C713" s="2">
        <v>3.0</v>
      </c>
      <c r="D713" s="2" t="s">
        <v>263</v>
      </c>
      <c r="E713" s="2" t="s">
        <v>2534</v>
      </c>
      <c r="H713" s="2">
        <v>7.0</v>
      </c>
      <c r="I713" s="2">
        <v>0.0</v>
      </c>
      <c r="K713" s="8" t="str">
        <f t="shared" si="1"/>
        <v>CALL InsertOrUpdateAtributosProductos ('3992','505','3','MEDIDAS','35 x 25 x 25cm','7','0');</v>
      </c>
    </row>
    <row r="714">
      <c r="A714" s="2">
        <v>3993.0</v>
      </c>
      <c r="B714" s="2">
        <v>505.0</v>
      </c>
      <c r="C714" s="2">
        <v>3.0</v>
      </c>
      <c r="D714" s="2" t="s">
        <v>263</v>
      </c>
      <c r="E714" s="2" t="s">
        <v>2535</v>
      </c>
      <c r="H714" s="2">
        <v>8.0</v>
      </c>
      <c r="I714" s="2">
        <v>0.0</v>
      </c>
      <c r="K714" s="8" t="str">
        <f t="shared" si="1"/>
        <v>CALL InsertOrUpdateAtributosProductos ('3993','505','3','MEDIDAS','35 x 25 x 15cm','8','0');</v>
      </c>
    </row>
    <row r="715">
      <c r="A715" s="2">
        <v>3994.0</v>
      </c>
      <c r="B715" s="2">
        <v>505.0</v>
      </c>
      <c r="C715" s="2">
        <v>3.0</v>
      </c>
      <c r="D715" s="2" t="s">
        <v>263</v>
      </c>
      <c r="E715" s="2" t="s">
        <v>2535</v>
      </c>
      <c r="H715" s="2">
        <v>9.0</v>
      </c>
      <c r="I715" s="2">
        <v>0.0</v>
      </c>
      <c r="K715" s="8" t="str">
        <f t="shared" si="1"/>
        <v>CALL InsertOrUpdateAtributosProductos ('3994','505','3','MEDIDAS','35 x 25 x 15cm','9','0');</v>
      </c>
    </row>
    <row r="716">
      <c r="A716" s="2">
        <v>3995.0</v>
      </c>
      <c r="B716" s="2">
        <v>505.0</v>
      </c>
      <c r="C716" s="2">
        <v>3.0</v>
      </c>
      <c r="D716" s="2" t="s">
        <v>263</v>
      </c>
      <c r="E716" s="2" t="s">
        <v>2536</v>
      </c>
      <c r="H716" s="2">
        <v>10.0</v>
      </c>
      <c r="I716" s="2">
        <v>0.0</v>
      </c>
      <c r="K716" s="8" t="str">
        <f t="shared" si="1"/>
        <v>CALL InsertOrUpdateAtributosProductos ('3995','505','3','MEDIDAS','40 x 20 x 20cm','10','0');</v>
      </c>
    </row>
    <row r="717">
      <c r="A717" s="2">
        <v>3996.0</v>
      </c>
      <c r="B717" s="2">
        <v>505.0</v>
      </c>
      <c r="C717" s="2">
        <v>3.0</v>
      </c>
      <c r="D717" s="2" t="s">
        <v>263</v>
      </c>
      <c r="E717" s="2" t="s">
        <v>2537</v>
      </c>
      <c r="H717" s="2">
        <v>11.0</v>
      </c>
      <c r="I717" s="2">
        <v>0.0</v>
      </c>
      <c r="K717" s="8" t="str">
        <f t="shared" si="1"/>
        <v>CALL InsertOrUpdateAtributosProductos ('3996','505','3','MEDIDAS','40 x 30 x 20cm','11','0');</v>
      </c>
    </row>
    <row r="718">
      <c r="A718" s="2">
        <v>3997.0</v>
      </c>
      <c r="B718" s="2">
        <v>505.0</v>
      </c>
      <c r="C718" s="2">
        <v>3.0</v>
      </c>
      <c r="D718" s="2" t="s">
        <v>263</v>
      </c>
      <c r="E718" s="2" t="s">
        <v>2538</v>
      </c>
      <c r="H718" s="2">
        <v>12.0</v>
      </c>
      <c r="I718" s="2">
        <v>0.0</v>
      </c>
      <c r="K718" s="8" t="str">
        <f t="shared" si="1"/>
        <v>CALL InsertOrUpdateAtributosProductos ('3997','505','3','MEDIDAS','40 x 30 x 30cm','12','0');</v>
      </c>
    </row>
    <row r="719">
      <c r="A719" s="2">
        <v>3998.0</v>
      </c>
      <c r="B719" s="2">
        <v>505.0</v>
      </c>
      <c r="C719" s="2">
        <v>3.0</v>
      </c>
      <c r="D719" s="2" t="s">
        <v>263</v>
      </c>
      <c r="E719" s="2" t="s">
        <v>2539</v>
      </c>
      <c r="H719" s="2">
        <v>13.0</v>
      </c>
      <c r="I719" s="2">
        <v>0.0</v>
      </c>
      <c r="K719" s="8" t="str">
        <f t="shared" si="1"/>
        <v>CALL InsertOrUpdateAtributosProductos ('3998','505','3','MEDIDAS','50 x 30 x 30cm','13','0');</v>
      </c>
    </row>
    <row r="720">
      <c r="A720" s="2">
        <v>3999.0</v>
      </c>
      <c r="B720" s="2">
        <v>505.0</v>
      </c>
      <c r="C720" s="2">
        <v>3.0</v>
      </c>
      <c r="D720" s="2" t="s">
        <v>263</v>
      </c>
      <c r="E720" s="2" t="s">
        <v>2540</v>
      </c>
      <c r="H720" s="2">
        <v>14.0</v>
      </c>
      <c r="I720" s="2">
        <v>0.0</v>
      </c>
      <c r="K720" s="8" t="str">
        <f t="shared" si="1"/>
        <v>CALL InsertOrUpdateAtributosProductos ('3999','505','3','MEDIDAS','50 x 40 x 30cm','14','0');</v>
      </c>
    </row>
    <row r="721">
      <c r="A721" s="2">
        <v>4000.0</v>
      </c>
      <c r="B721" s="2">
        <v>505.0</v>
      </c>
      <c r="C721" s="2">
        <v>3.0</v>
      </c>
      <c r="D721" s="2" t="s">
        <v>263</v>
      </c>
      <c r="E721" s="2" t="s">
        <v>2541</v>
      </c>
      <c r="H721" s="2">
        <v>15.0</v>
      </c>
      <c r="I721" s="2">
        <v>0.0</v>
      </c>
      <c r="K721" s="8" t="str">
        <f t="shared" si="1"/>
        <v>CALL InsertOrUpdateAtributosProductos ('4000','505','3','MEDIDAS','50 x 40 x 40cm','15','0');</v>
      </c>
    </row>
    <row r="722">
      <c r="A722" s="2">
        <v>4001.0</v>
      </c>
      <c r="B722" s="2">
        <v>505.0</v>
      </c>
      <c r="C722" s="2">
        <v>3.0</v>
      </c>
      <c r="D722" s="2" t="s">
        <v>263</v>
      </c>
      <c r="E722" s="2" t="s">
        <v>2542</v>
      </c>
      <c r="H722" s="2">
        <v>16.0</v>
      </c>
      <c r="I722" s="2">
        <v>0.0</v>
      </c>
      <c r="K722" s="8" t="str">
        <f t="shared" si="1"/>
        <v>CALL InsertOrUpdateAtributosProductos ('4001','505','3','MEDIDAS','60 x 40 x 20cm','16','0');</v>
      </c>
    </row>
    <row r="723">
      <c r="A723" s="2">
        <v>4002.0</v>
      </c>
      <c r="B723" s="2">
        <v>505.0</v>
      </c>
      <c r="C723" s="2">
        <v>3.0</v>
      </c>
      <c r="D723" s="2" t="s">
        <v>263</v>
      </c>
      <c r="E723" s="2" t="s">
        <v>2543</v>
      </c>
      <c r="H723" s="2">
        <v>17.0</v>
      </c>
      <c r="I723" s="2">
        <v>0.0</v>
      </c>
      <c r="K723" s="8" t="str">
        <f t="shared" si="1"/>
        <v>CALL InsertOrUpdateAtributosProductos ('4002','505','3','MEDIDAS','60 x 40 x 30cm','17','0');</v>
      </c>
    </row>
    <row r="724">
      <c r="A724" s="2">
        <v>4003.0</v>
      </c>
      <c r="B724" s="2">
        <v>505.0</v>
      </c>
      <c r="C724" s="2">
        <v>3.0</v>
      </c>
      <c r="D724" s="2" t="s">
        <v>263</v>
      </c>
      <c r="E724" s="2" t="s">
        <v>2544</v>
      </c>
      <c r="H724" s="2">
        <v>18.0</v>
      </c>
      <c r="I724" s="2">
        <v>0.0</v>
      </c>
      <c r="K724" s="8" t="str">
        <f t="shared" si="1"/>
        <v>CALL InsertOrUpdateAtributosProductos ('4003','505','3','MEDIDAS','60 x 40 x 40cm','18','0');</v>
      </c>
    </row>
    <row r="725">
      <c r="A725" s="2">
        <v>4004.0</v>
      </c>
      <c r="B725" s="2">
        <v>505.0</v>
      </c>
      <c r="C725" s="2">
        <v>3.0</v>
      </c>
      <c r="D725" s="2" t="s">
        <v>263</v>
      </c>
      <c r="E725" s="2" t="s">
        <v>2545</v>
      </c>
      <c r="H725" s="2">
        <v>19.0</v>
      </c>
      <c r="I725" s="2">
        <v>0.0</v>
      </c>
      <c r="K725" s="8" t="str">
        <f t="shared" si="1"/>
        <v>CALL InsertOrUpdateAtributosProductos ('4004','505','3','MEDIDAS','70 x 50 x 50cm','19','0');</v>
      </c>
    </row>
    <row r="726">
      <c r="A726" s="2">
        <v>4005.0</v>
      </c>
      <c r="B726" s="2">
        <v>506.0</v>
      </c>
      <c r="C726" s="2">
        <v>14.0</v>
      </c>
      <c r="D726" s="2" t="s">
        <v>1130</v>
      </c>
      <c r="E726" s="2" t="s">
        <v>2488</v>
      </c>
      <c r="H726" s="2">
        <v>1.0</v>
      </c>
      <c r="I726" s="2">
        <v>0.0</v>
      </c>
      <c r="K726" s="8" t="str">
        <f t="shared" si="1"/>
        <v>CALL InsertOrUpdateAtributosProductos ('4005','506','14','CAPACIDAD','1/2 kg','1','0');</v>
      </c>
    </row>
    <row r="727">
      <c r="A727" s="2">
        <v>4006.0</v>
      </c>
      <c r="B727" s="2">
        <v>506.0</v>
      </c>
      <c r="C727" s="2">
        <v>14.0</v>
      </c>
      <c r="D727" s="2" t="s">
        <v>1130</v>
      </c>
      <c r="E727" s="2" t="s">
        <v>2489</v>
      </c>
      <c r="H727" s="2">
        <v>2.0</v>
      </c>
      <c r="I727" s="2">
        <v>0.0</v>
      </c>
      <c r="K727" s="8" t="str">
        <f t="shared" si="1"/>
        <v>CALL InsertOrUpdateAtributosProductos ('4006','506','14','CAPACIDAD','1 kg','2','0');</v>
      </c>
    </row>
    <row r="728">
      <c r="A728" s="2">
        <v>4007.0</v>
      </c>
      <c r="B728" s="2">
        <v>507.0</v>
      </c>
      <c r="C728" s="2">
        <v>10.0</v>
      </c>
      <c r="D728" s="2" t="s">
        <v>663</v>
      </c>
      <c r="E728" s="2" t="s">
        <v>2546</v>
      </c>
      <c r="H728" s="2">
        <v>1.0</v>
      </c>
      <c r="I728" s="2">
        <v>0.0</v>
      </c>
      <c r="K728" s="8" t="str">
        <f t="shared" si="1"/>
        <v>CALL InsertOrUpdateAtributosProductos ('4007','507','10','TAMAÑO','1/2 pizza','1','0');</v>
      </c>
    </row>
    <row r="729">
      <c r="A729" s="2">
        <v>4008.0</v>
      </c>
      <c r="B729" s="2">
        <v>507.0</v>
      </c>
      <c r="C729" s="2">
        <v>10.0</v>
      </c>
      <c r="D729" s="2" t="s">
        <v>663</v>
      </c>
      <c r="E729" s="2" t="s">
        <v>2547</v>
      </c>
      <c r="H729" s="2">
        <v>2.0</v>
      </c>
      <c r="I729" s="2">
        <v>0.0</v>
      </c>
      <c r="K729" s="8" t="str">
        <f t="shared" si="1"/>
        <v>CALL InsertOrUpdateAtributosProductos ('4008','507','10','TAMAÑO','Pizza chica','2','0');</v>
      </c>
    </row>
    <row r="730">
      <c r="A730" s="2">
        <v>4009.0</v>
      </c>
      <c r="B730" s="2">
        <v>507.0</v>
      </c>
      <c r="C730" s="2">
        <v>10.0</v>
      </c>
      <c r="D730" s="2" t="s">
        <v>663</v>
      </c>
      <c r="E730" s="2" t="s">
        <v>2548</v>
      </c>
      <c r="H730" s="2">
        <v>3.0</v>
      </c>
      <c r="I730" s="2">
        <v>0.0</v>
      </c>
      <c r="K730" s="8" t="str">
        <f t="shared" si="1"/>
        <v>CALL InsertOrUpdateAtributosProductos ('4009','507','10','TAMAÑO','Pizza grande','3','0');</v>
      </c>
    </row>
    <row r="731">
      <c r="A731" s="2">
        <v>4010.0</v>
      </c>
      <c r="B731" s="2">
        <v>508.0</v>
      </c>
      <c r="C731" s="2">
        <v>3.0</v>
      </c>
      <c r="D731" s="2" t="s">
        <v>263</v>
      </c>
      <c r="E731" s="2" t="s">
        <v>2549</v>
      </c>
      <c r="H731" s="2">
        <v>1.0</v>
      </c>
      <c r="I731" s="2">
        <v>0.0</v>
      </c>
      <c r="K731" s="8" t="str">
        <f t="shared" si="1"/>
        <v>CALL InsertOrUpdateAtributosProductos ('4010','508','3','MEDIDAS','17 x 20 x 6cm','1','0');</v>
      </c>
    </row>
    <row r="732">
      <c r="A732" s="2">
        <v>4011.0</v>
      </c>
      <c r="B732" s="2">
        <v>508.0</v>
      </c>
      <c r="C732" s="2">
        <v>3.0</v>
      </c>
      <c r="D732" s="2" t="s">
        <v>263</v>
      </c>
      <c r="E732" s="2" t="s">
        <v>2550</v>
      </c>
      <c r="H732" s="2">
        <v>2.0</v>
      </c>
      <c r="I732" s="2">
        <v>0.0</v>
      </c>
      <c r="K732" s="8" t="str">
        <f t="shared" si="1"/>
        <v>CALL InsertOrUpdateAtributosProductos ('4011','508','3','MEDIDAS','23 x 23 x 6cm','2','0');</v>
      </c>
    </row>
    <row r="733">
      <c r="A733" s="2">
        <v>4012.0</v>
      </c>
      <c r="B733" s="2">
        <v>508.0</v>
      </c>
      <c r="C733" s="2">
        <v>3.0</v>
      </c>
      <c r="D733" s="2" t="s">
        <v>263</v>
      </c>
      <c r="E733" s="2" t="s">
        <v>2551</v>
      </c>
      <c r="H733" s="2">
        <v>3.0</v>
      </c>
      <c r="I733" s="2">
        <v>0.0</v>
      </c>
      <c r="K733" s="8" t="str">
        <f t="shared" si="1"/>
        <v>CALL InsertOrUpdateAtributosProductos ('4012','508','3','MEDIDAS','28 x 28 x 6cm','3','0');</v>
      </c>
    </row>
    <row r="734">
      <c r="A734" s="2">
        <v>4013.0</v>
      </c>
      <c r="B734" s="2">
        <v>509.0</v>
      </c>
      <c r="C734" s="2">
        <v>3.0</v>
      </c>
      <c r="D734" s="2" t="s">
        <v>263</v>
      </c>
      <c r="E734" s="2" t="s">
        <v>2552</v>
      </c>
      <c r="H734" s="2">
        <v>1.0</v>
      </c>
      <c r="I734" s="2">
        <v>0.0</v>
      </c>
      <c r="K734" s="8" t="str">
        <f t="shared" si="1"/>
        <v>CALL InsertOrUpdateAtributosProductos ('4013','509','3','MEDIDAS','12,5x12,5x7 cm','1','0');</v>
      </c>
    </row>
    <row r="735">
      <c r="A735" s="2">
        <v>4014.0</v>
      </c>
      <c r="B735" s="2">
        <v>509.0</v>
      </c>
      <c r="C735" s="2">
        <v>3.0</v>
      </c>
      <c r="D735" s="2" t="s">
        <v>263</v>
      </c>
      <c r="E735" s="2" t="s">
        <v>2553</v>
      </c>
      <c r="H735" s="2">
        <v>2.0</v>
      </c>
      <c r="I735" s="2">
        <v>0.0</v>
      </c>
      <c r="K735" s="8" t="str">
        <f t="shared" si="1"/>
        <v>CALL InsertOrUpdateAtributosProductos ('4014','509','3','MEDIDAS','16x16x6 cm','2','0');</v>
      </c>
    </row>
    <row r="736">
      <c r="A736" s="2">
        <v>4015.0</v>
      </c>
      <c r="B736" s="2">
        <v>509.0</v>
      </c>
      <c r="C736" s="2">
        <v>3.0</v>
      </c>
      <c r="D736" s="2" t="s">
        <v>263</v>
      </c>
      <c r="E736" s="2" t="s">
        <v>2554</v>
      </c>
      <c r="H736" s="2">
        <v>3.0</v>
      </c>
      <c r="I736" s="2">
        <v>0.0</v>
      </c>
      <c r="K736" s="8" t="str">
        <f t="shared" si="1"/>
        <v>CALL InsertOrUpdateAtributosProductos ('4015','509','3','MEDIDAS','20x20x7 cm','3','0');</v>
      </c>
    </row>
    <row r="737">
      <c r="A737" s="2">
        <v>4016.0</v>
      </c>
      <c r="B737" s="2">
        <v>509.0</v>
      </c>
      <c r="C737" s="2">
        <v>3.0</v>
      </c>
      <c r="D737" s="2" t="s">
        <v>263</v>
      </c>
      <c r="E737" s="2" t="s">
        <v>2555</v>
      </c>
      <c r="H737" s="2">
        <v>4.0</v>
      </c>
      <c r="I737" s="2">
        <v>0.0</v>
      </c>
      <c r="K737" s="8" t="str">
        <f t="shared" si="1"/>
        <v>CALL InsertOrUpdateAtributosProductos ('4016','509','3','MEDIDAS','24x24x10 cm','4','0');</v>
      </c>
    </row>
    <row r="738">
      <c r="A738" s="2">
        <v>4017.0</v>
      </c>
      <c r="B738" s="2">
        <v>509.0</v>
      </c>
      <c r="C738" s="2">
        <v>3.0</v>
      </c>
      <c r="D738" s="2" t="s">
        <v>263</v>
      </c>
      <c r="E738" s="2" t="s">
        <v>2556</v>
      </c>
      <c r="H738" s="2">
        <v>5.0</v>
      </c>
      <c r="I738" s="2">
        <v>0.0</v>
      </c>
      <c r="K738" s="8" t="str">
        <f t="shared" si="1"/>
        <v>CALL InsertOrUpdateAtributosProductos ('4017','509','3','MEDIDAS','26x26x12 cm','5','0');</v>
      </c>
    </row>
    <row r="739">
      <c r="A739" s="2">
        <v>4018.0</v>
      </c>
      <c r="B739" s="2">
        <v>509.0</v>
      </c>
      <c r="C739" s="2">
        <v>3.0</v>
      </c>
      <c r="D739" s="2" t="s">
        <v>263</v>
      </c>
      <c r="E739" s="2" t="s">
        <v>2557</v>
      </c>
      <c r="H739" s="2">
        <v>6.0</v>
      </c>
      <c r="I739" s="2">
        <v>0.0</v>
      </c>
      <c r="K739" s="8" t="str">
        <f t="shared" si="1"/>
        <v>CALL InsertOrUpdateAtributosProductos ('4018','509','3','MEDIDAS','27x27x10 cm','6','0');</v>
      </c>
    </row>
    <row r="740">
      <c r="A740" s="2">
        <v>4019.0</v>
      </c>
      <c r="B740" s="2">
        <v>509.0</v>
      </c>
      <c r="C740" s="2">
        <v>3.0</v>
      </c>
      <c r="D740" s="2" t="s">
        <v>263</v>
      </c>
      <c r="E740" s="2" t="s">
        <v>2558</v>
      </c>
      <c r="H740" s="2">
        <v>7.0</v>
      </c>
      <c r="I740" s="2">
        <v>0.0</v>
      </c>
      <c r="K740" s="8" t="str">
        <f t="shared" si="1"/>
        <v>CALL InsertOrUpdateAtributosProductos ('4019','509','3','MEDIDAS','27x27x15 cm','7','0');</v>
      </c>
    </row>
    <row r="741">
      <c r="A741" s="2">
        <v>4020.0</v>
      </c>
      <c r="B741" s="2">
        <v>509.0</v>
      </c>
      <c r="C741" s="2">
        <v>3.0</v>
      </c>
      <c r="D741" s="2" t="s">
        <v>263</v>
      </c>
      <c r="E741" s="2" t="s">
        <v>2559</v>
      </c>
      <c r="H741" s="2">
        <v>8.0</v>
      </c>
      <c r="I741" s="2">
        <v>0.0</v>
      </c>
      <c r="K741" s="8" t="str">
        <f t="shared" si="1"/>
        <v>CALL InsertOrUpdateAtributosProductos ('4020','509','3','MEDIDAS','27x27x5 cm','8','0');</v>
      </c>
    </row>
    <row r="742">
      <c r="A742" s="2">
        <v>4021.0</v>
      </c>
      <c r="B742" s="2">
        <v>509.0</v>
      </c>
      <c r="C742" s="2">
        <v>3.0</v>
      </c>
      <c r="D742" s="2" t="s">
        <v>263</v>
      </c>
      <c r="E742" s="2" t="s">
        <v>2560</v>
      </c>
      <c r="H742" s="2">
        <v>9.0</v>
      </c>
      <c r="I742" s="2">
        <v>0.0</v>
      </c>
      <c r="K742" s="8" t="str">
        <f t="shared" si="1"/>
        <v>CALL InsertOrUpdateAtributosProductos ('4021','509','3','MEDIDAS','30x30x10 cm','9','0');</v>
      </c>
    </row>
    <row r="743">
      <c r="A743" s="2">
        <v>4022.0</v>
      </c>
      <c r="B743" s="2">
        <v>509.0</v>
      </c>
      <c r="C743" s="2">
        <v>3.0</v>
      </c>
      <c r="D743" s="2" t="s">
        <v>263</v>
      </c>
      <c r="E743" s="2" t="s">
        <v>2561</v>
      </c>
      <c r="H743" s="2">
        <v>10.0</v>
      </c>
      <c r="I743" s="2">
        <v>0.0</v>
      </c>
      <c r="K743" s="8" t="str">
        <f t="shared" si="1"/>
        <v>CALL InsertOrUpdateAtributosProductos ('4022','509','3','MEDIDAS','33x33x12 cm','10','0');</v>
      </c>
    </row>
    <row r="744">
      <c r="A744" s="2">
        <v>4023.0</v>
      </c>
      <c r="B744" s="2">
        <v>509.0</v>
      </c>
      <c r="C744" s="2">
        <v>3.0</v>
      </c>
      <c r="D744" s="2" t="s">
        <v>263</v>
      </c>
      <c r="E744" s="2" t="s">
        <v>2562</v>
      </c>
      <c r="H744" s="2">
        <v>11.0</v>
      </c>
      <c r="I744" s="2">
        <v>0.0</v>
      </c>
      <c r="K744" s="8" t="str">
        <f t="shared" si="1"/>
        <v>CALL InsertOrUpdateAtributosProductos ('4023','509','3','MEDIDAS','33x33x8 cm','11','0');</v>
      </c>
    </row>
    <row r="745">
      <c r="A745" s="2">
        <v>4024.0</v>
      </c>
      <c r="B745" s="2">
        <v>511.0</v>
      </c>
      <c r="C745" s="2">
        <v>3.0</v>
      </c>
      <c r="D745" s="2" t="s">
        <v>263</v>
      </c>
      <c r="E745" s="2" t="s">
        <v>2154</v>
      </c>
      <c r="H745" s="2">
        <v>1.0</v>
      </c>
      <c r="I745" s="2">
        <v>0.0</v>
      </c>
      <c r="K745" s="8" t="str">
        <f t="shared" si="1"/>
        <v>CALL InsertOrUpdateAtributosProductos ('4024','511','3','MEDIDAS','50 cm','1','0');</v>
      </c>
    </row>
    <row r="746">
      <c r="A746" s="2">
        <v>4025.0</v>
      </c>
      <c r="B746" s="2">
        <v>511.0</v>
      </c>
      <c r="C746" s="2">
        <v>3.0</v>
      </c>
      <c r="D746" s="2" t="s">
        <v>263</v>
      </c>
      <c r="E746" s="2" t="s">
        <v>2152</v>
      </c>
      <c r="H746" s="2">
        <v>2.0</v>
      </c>
      <c r="I746" s="2">
        <v>0.0</v>
      </c>
      <c r="K746" s="8" t="str">
        <f t="shared" si="1"/>
        <v>CALL InsertOrUpdateAtributosProductos ('4025','511','3','MEDIDAS','60 cm','2','0');</v>
      </c>
    </row>
    <row r="747">
      <c r="A747" s="2">
        <v>4026.0</v>
      </c>
      <c r="B747" s="2">
        <v>511.0</v>
      </c>
      <c r="C747" s="2">
        <v>3.0</v>
      </c>
      <c r="D747" s="2" t="s">
        <v>263</v>
      </c>
      <c r="E747" s="2" t="s">
        <v>2563</v>
      </c>
      <c r="H747" s="2">
        <v>3.0</v>
      </c>
      <c r="I747" s="2">
        <v>0.0</v>
      </c>
      <c r="K747" s="8" t="str">
        <f t="shared" si="1"/>
        <v>CALL InsertOrUpdateAtributosProductos ('4026','511','3','MEDIDAS','70 cm','3','0');</v>
      </c>
    </row>
    <row r="748">
      <c r="A748" s="2">
        <v>4027.0</v>
      </c>
      <c r="B748" s="2">
        <v>511.0</v>
      </c>
      <c r="C748" s="2">
        <v>3.0</v>
      </c>
      <c r="D748" s="2" t="s">
        <v>263</v>
      </c>
      <c r="E748" s="2" t="s">
        <v>2150</v>
      </c>
      <c r="H748" s="2">
        <v>4.0</v>
      </c>
      <c r="I748" s="2">
        <v>0.0</v>
      </c>
      <c r="K748" s="8" t="str">
        <f t="shared" si="1"/>
        <v>CALL InsertOrUpdateAtributosProductos ('4027','511','3','MEDIDAS','80 cm','4','0');</v>
      </c>
    </row>
    <row r="749">
      <c r="A749" s="2">
        <v>4028.0</v>
      </c>
      <c r="B749" s="2">
        <v>511.0</v>
      </c>
      <c r="C749" s="2">
        <v>3.0</v>
      </c>
      <c r="D749" s="2" t="s">
        <v>263</v>
      </c>
      <c r="E749" s="2" t="s">
        <v>2564</v>
      </c>
      <c r="H749" s="2">
        <v>5.0</v>
      </c>
      <c r="I749" s="2">
        <v>0.0</v>
      </c>
      <c r="K749" s="8" t="str">
        <f t="shared" si="1"/>
        <v>CALL InsertOrUpdateAtributosProductos ('4028','511','3','MEDIDAS','90 cm','5','0');</v>
      </c>
    </row>
    <row r="750">
      <c r="A750" s="2">
        <v>4029.0</v>
      </c>
      <c r="B750" s="2">
        <v>511.0</v>
      </c>
      <c r="C750" s="2">
        <v>3.0</v>
      </c>
      <c r="D750" s="2" t="s">
        <v>263</v>
      </c>
      <c r="E750" s="2" t="s">
        <v>2151</v>
      </c>
      <c r="H750" s="2">
        <v>6.0</v>
      </c>
      <c r="I750" s="2">
        <v>0.0</v>
      </c>
      <c r="K750" s="8" t="str">
        <f t="shared" si="1"/>
        <v>CALL InsertOrUpdateAtributosProductos ('4029','511','3','MEDIDAS','100 cm','6','0');</v>
      </c>
    </row>
    <row r="751">
      <c r="A751" s="2">
        <v>4030.0</v>
      </c>
      <c r="B751" s="2">
        <v>511.0</v>
      </c>
      <c r="C751" s="2">
        <v>3.0</v>
      </c>
      <c r="D751" s="2" t="s">
        <v>263</v>
      </c>
      <c r="E751" s="2" t="s">
        <v>2565</v>
      </c>
      <c r="H751" s="2">
        <v>7.0</v>
      </c>
      <c r="I751" s="2">
        <v>0.0</v>
      </c>
      <c r="K751" s="8" t="str">
        <f t="shared" si="1"/>
        <v>CALL InsertOrUpdateAtributosProductos ('4030','511','3','MEDIDAS','120 cm','7','0');</v>
      </c>
    </row>
    <row r="752">
      <c r="A752" s="2">
        <v>4031.0</v>
      </c>
      <c r="B752" s="2">
        <v>511.0</v>
      </c>
      <c r="C752" s="2">
        <v>3.0</v>
      </c>
      <c r="D752" s="2" t="s">
        <v>263</v>
      </c>
      <c r="E752" s="2" t="s">
        <v>2566</v>
      </c>
      <c r="H752" s="2">
        <v>8.0</v>
      </c>
      <c r="I752" s="2">
        <v>0.0</v>
      </c>
      <c r="K752" s="8" t="str">
        <f t="shared" si="1"/>
        <v>CALL InsertOrUpdateAtributosProductos ('4031','511','3','MEDIDAS','140 cm','8','0');</v>
      </c>
    </row>
    <row r="753">
      <c r="A753" s="2">
        <v>4032.0</v>
      </c>
      <c r="B753" s="2">
        <v>512.0</v>
      </c>
      <c r="C753" s="2">
        <v>3.0</v>
      </c>
      <c r="D753" s="2" t="s">
        <v>263</v>
      </c>
      <c r="E753" s="2" t="s">
        <v>2567</v>
      </c>
      <c r="H753" s="2">
        <v>1.0</v>
      </c>
      <c r="I753" s="2">
        <v>0.0</v>
      </c>
      <c r="K753" s="8" t="str">
        <f t="shared" si="1"/>
        <v>CALL InsertOrUpdateAtributosProductos ('4032','512','3','MEDIDAS','10 cm x 1000 mts','1','0');</v>
      </c>
    </row>
    <row r="754">
      <c r="A754" s="2">
        <v>4033.0</v>
      </c>
      <c r="B754" s="2">
        <v>512.0</v>
      </c>
      <c r="C754" s="2">
        <v>3.0</v>
      </c>
      <c r="D754" s="2" t="s">
        <v>263</v>
      </c>
      <c r="E754" s="2" t="s">
        <v>2568</v>
      </c>
      <c r="H754" s="2">
        <v>2.0</v>
      </c>
      <c r="I754" s="2">
        <v>0.0</v>
      </c>
      <c r="K754" s="8" t="str">
        <f t="shared" si="1"/>
        <v>CALL InsertOrUpdateAtributosProductos ('4033','512','3','MEDIDAS','50 cm x 1000 mts','2','0');</v>
      </c>
    </row>
    <row r="755">
      <c r="A755" s="2">
        <v>4034.0</v>
      </c>
      <c r="B755" s="2">
        <v>513.0</v>
      </c>
      <c r="C755" s="2">
        <v>3.0</v>
      </c>
      <c r="D755" s="2" t="s">
        <v>263</v>
      </c>
      <c r="E755" s="2" t="s">
        <v>2567</v>
      </c>
      <c r="H755" s="2">
        <v>1.0</v>
      </c>
      <c r="I755" s="2">
        <v>0.0</v>
      </c>
      <c r="K755" s="8" t="str">
        <f t="shared" si="1"/>
        <v>CALL InsertOrUpdateAtributosProductos ('4034','513','3','MEDIDAS','10 cm x 1000 mts','1','0');</v>
      </c>
    </row>
    <row r="756">
      <c r="A756" s="2">
        <v>4035.0</v>
      </c>
      <c r="B756" s="2">
        <v>513.0</v>
      </c>
      <c r="C756" s="2">
        <v>3.0</v>
      </c>
      <c r="D756" s="2" t="s">
        <v>263</v>
      </c>
      <c r="E756" s="2" t="s">
        <v>2568</v>
      </c>
      <c r="H756" s="2">
        <v>2.0</v>
      </c>
      <c r="I756" s="2">
        <v>0.0</v>
      </c>
      <c r="K756" s="8" t="str">
        <f t="shared" si="1"/>
        <v>CALL InsertOrUpdateAtributosProductos ('4035','513','3','MEDIDAS','50 cm x 1000 mts','2','0');</v>
      </c>
    </row>
    <row r="757">
      <c r="A757" s="2">
        <v>4036.0</v>
      </c>
      <c r="B757" s="2">
        <v>515.0</v>
      </c>
      <c r="C757" s="2">
        <v>3.0</v>
      </c>
      <c r="D757" s="2" t="s">
        <v>263</v>
      </c>
      <c r="E757" s="2" t="s">
        <v>2569</v>
      </c>
      <c r="H757" s="2">
        <v>1.0</v>
      </c>
      <c r="I757" s="2">
        <v>0.0</v>
      </c>
      <c r="K757" s="8" t="str">
        <f t="shared" si="1"/>
        <v>CALL InsertOrUpdateAtributosProductos ('4036','515','3','MEDIDAS','13 cm','1','0');</v>
      </c>
    </row>
    <row r="758">
      <c r="A758" s="2">
        <v>4037.0</v>
      </c>
      <c r="B758" s="2">
        <v>515.0</v>
      </c>
      <c r="C758" s="2">
        <v>3.0</v>
      </c>
      <c r="D758" s="2" t="s">
        <v>263</v>
      </c>
      <c r="E758" s="2" t="s">
        <v>2570</v>
      </c>
      <c r="H758" s="2">
        <v>2.0</v>
      </c>
      <c r="I758" s="2">
        <v>0.0</v>
      </c>
      <c r="K758" s="8" t="str">
        <f t="shared" si="1"/>
        <v>CALL InsertOrUpdateAtributosProductos ('4037','515','3','MEDIDAS','16 cm','2','0');</v>
      </c>
    </row>
    <row r="759">
      <c r="A759" s="2">
        <v>4038.0</v>
      </c>
      <c r="B759" s="2">
        <v>515.0</v>
      </c>
      <c r="C759" s="2">
        <v>3.0</v>
      </c>
      <c r="D759" s="2" t="s">
        <v>263</v>
      </c>
      <c r="E759" s="2" t="s">
        <v>2571</v>
      </c>
      <c r="H759" s="2">
        <v>3.0</v>
      </c>
      <c r="I759" s="2">
        <v>0.0</v>
      </c>
      <c r="K759" s="8" t="str">
        <f t="shared" si="1"/>
        <v>CALL InsertOrUpdateAtributosProductos ('4038','515','3','MEDIDAS','19 cm','3','0');</v>
      </c>
    </row>
    <row r="760">
      <c r="A760" s="2">
        <v>4039.0</v>
      </c>
      <c r="B760" s="2">
        <v>516.0</v>
      </c>
      <c r="C760" s="2">
        <v>3.0</v>
      </c>
      <c r="D760" s="2" t="s">
        <v>263</v>
      </c>
      <c r="E760" s="2" t="s">
        <v>2569</v>
      </c>
      <c r="H760" s="2">
        <v>1.0</v>
      </c>
      <c r="I760" s="2">
        <v>0.0</v>
      </c>
      <c r="K760" s="8" t="str">
        <f t="shared" si="1"/>
        <v>CALL InsertOrUpdateAtributosProductos ('4039','516','3','MEDIDAS','13 cm','1','0');</v>
      </c>
    </row>
    <row r="761">
      <c r="A761" s="2">
        <v>4040.0</v>
      </c>
      <c r="B761" s="2">
        <v>516.0</v>
      </c>
      <c r="C761" s="2">
        <v>3.0</v>
      </c>
      <c r="D761" s="2" t="s">
        <v>263</v>
      </c>
      <c r="E761" s="2" t="s">
        <v>2570</v>
      </c>
      <c r="H761" s="2">
        <v>2.0</v>
      </c>
      <c r="I761" s="2">
        <v>0.0</v>
      </c>
      <c r="K761" s="8" t="str">
        <f t="shared" si="1"/>
        <v>CALL InsertOrUpdateAtributosProductos ('4040','516','3','MEDIDAS','16 cm','2','0');</v>
      </c>
    </row>
    <row r="762">
      <c r="A762" s="2">
        <v>4041.0</v>
      </c>
      <c r="B762" s="2">
        <v>517.0</v>
      </c>
      <c r="C762" s="2">
        <v>3.0</v>
      </c>
      <c r="D762" s="2" t="s">
        <v>263</v>
      </c>
      <c r="E762" s="2" t="s">
        <v>2569</v>
      </c>
      <c r="H762" s="2">
        <v>1.0</v>
      </c>
      <c r="I762" s="2">
        <v>0.0</v>
      </c>
      <c r="K762" s="8" t="str">
        <f t="shared" si="1"/>
        <v>CALL InsertOrUpdateAtributosProductos ('4041','517','3','MEDIDAS','13 cm','1','0');</v>
      </c>
    </row>
    <row r="763">
      <c r="A763" s="2">
        <v>4042.0</v>
      </c>
      <c r="B763" s="2">
        <v>517.0</v>
      </c>
      <c r="C763" s="2">
        <v>3.0</v>
      </c>
      <c r="D763" s="2" t="s">
        <v>263</v>
      </c>
      <c r="E763" s="2" t="s">
        <v>2570</v>
      </c>
      <c r="H763" s="2">
        <v>2.0</v>
      </c>
      <c r="I763" s="2">
        <v>0.0</v>
      </c>
      <c r="K763" s="8" t="str">
        <f t="shared" si="1"/>
        <v>CALL InsertOrUpdateAtributosProductos ('4042','517','3','MEDIDAS','16 cm','2','0');</v>
      </c>
    </row>
    <row r="764">
      <c r="A764" s="2">
        <v>4043.0</v>
      </c>
      <c r="B764" s="2">
        <v>519.0</v>
      </c>
      <c r="C764" s="2">
        <v>2.0</v>
      </c>
      <c r="D764" s="2" t="s">
        <v>259</v>
      </c>
      <c r="E764" s="2" t="s">
        <v>2572</v>
      </c>
      <c r="H764" s="2">
        <v>1.0</v>
      </c>
      <c r="I764" s="2">
        <v>0.0</v>
      </c>
      <c r="K764" s="8" t="str">
        <f t="shared" si="1"/>
        <v>CALL InsertOrUpdateAtributosProductos ('4043','519','2','TIPO','3 hebras','1','0');</v>
      </c>
    </row>
    <row r="765">
      <c r="A765" s="2">
        <v>4044.0</v>
      </c>
      <c r="B765" s="2">
        <v>519.0</v>
      </c>
      <c r="C765" s="2">
        <v>2.0</v>
      </c>
      <c r="D765" s="2" t="s">
        <v>259</v>
      </c>
      <c r="E765" s="2" t="s">
        <v>2573</v>
      </c>
      <c r="H765" s="2">
        <v>2.0</v>
      </c>
      <c r="I765" s="2">
        <v>0.0</v>
      </c>
      <c r="K765" s="8" t="str">
        <f t="shared" si="1"/>
        <v>CALL InsertOrUpdateAtributosProductos ('4044','519','2','TIPO','4 hebras','2','0');</v>
      </c>
    </row>
    <row r="766">
      <c r="A766" s="2">
        <v>4045.0</v>
      </c>
      <c r="B766" s="2">
        <v>519.0</v>
      </c>
      <c r="C766" s="2">
        <v>2.0</v>
      </c>
      <c r="D766" s="2" t="s">
        <v>259</v>
      </c>
      <c r="E766" s="2" t="s">
        <v>2574</v>
      </c>
      <c r="H766" s="2">
        <v>3.0</v>
      </c>
      <c r="I766" s="2">
        <v>0.0</v>
      </c>
      <c r="K766" s="8" t="str">
        <f t="shared" si="1"/>
        <v>CALL InsertOrUpdateAtributosProductos ('4045','519','2','TIPO','5 hebras','3','0');</v>
      </c>
    </row>
    <row r="767">
      <c r="A767" s="2">
        <v>4046.0</v>
      </c>
      <c r="B767" s="2">
        <v>519.0</v>
      </c>
      <c r="C767" s="2">
        <v>2.0</v>
      </c>
      <c r="D767" s="2" t="s">
        <v>259</v>
      </c>
      <c r="E767" s="2" t="s">
        <v>2575</v>
      </c>
      <c r="H767" s="2">
        <v>4.0</v>
      </c>
      <c r="I767" s="2">
        <v>0.0</v>
      </c>
      <c r="K767" s="8" t="str">
        <f t="shared" si="1"/>
        <v>CALL InsertOrUpdateAtributosProductos ('4046','519','2','TIPO','6 hebras','4','0');</v>
      </c>
    </row>
    <row r="768">
      <c r="A768" s="2">
        <v>4047.0</v>
      </c>
      <c r="B768" s="2">
        <v>519.0</v>
      </c>
      <c r="C768" s="2">
        <v>2.0</v>
      </c>
      <c r="D768" s="2" t="s">
        <v>259</v>
      </c>
      <c r="E768" s="2" t="s">
        <v>2576</v>
      </c>
      <c r="H768" s="2">
        <v>5.0</v>
      </c>
      <c r="I768" s="2">
        <v>0.0</v>
      </c>
      <c r="K768" s="8" t="str">
        <f t="shared" si="1"/>
        <v>CALL InsertOrUpdateAtributosProductos ('4047','519','2','TIPO','8 hebras','5','0');</v>
      </c>
    </row>
    <row r="769">
      <c r="A769" s="2">
        <v>4048.0</v>
      </c>
      <c r="B769" s="2">
        <v>522.0</v>
      </c>
      <c r="C769" s="2">
        <v>3.0</v>
      </c>
      <c r="D769" s="2" t="s">
        <v>263</v>
      </c>
      <c r="E769" s="2" t="s">
        <v>2577</v>
      </c>
      <c r="H769" s="2">
        <v>1.0</v>
      </c>
      <c r="I769" s="2">
        <v>0.0</v>
      </c>
      <c r="K769" s="8" t="str">
        <f t="shared" si="1"/>
        <v>CALL InsertOrUpdateAtributosProductos ('4048','522','3','MEDIDAS','30 x 40 cm','1','0');</v>
      </c>
    </row>
    <row r="770">
      <c r="A770" s="2">
        <v>4049.0</v>
      </c>
      <c r="B770" s="2">
        <v>522.0</v>
      </c>
      <c r="C770" s="2">
        <v>3.0</v>
      </c>
      <c r="D770" s="2" t="s">
        <v>263</v>
      </c>
      <c r="E770" s="2" t="s">
        <v>2147</v>
      </c>
      <c r="H770" s="2">
        <v>2.0</v>
      </c>
      <c r="I770" s="2">
        <v>0.0</v>
      </c>
      <c r="K770" s="8" t="str">
        <f t="shared" si="1"/>
        <v>CALL InsertOrUpdateAtributosProductos ('4049','522','3','MEDIDAS','40 x 50 cm','2','0');</v>
      </c>
    </row>
    <row r="771">
      <c r="A771" s="2">
        <v>4050.0</v>
      </c>
      <c r="B771" s="2">
        <v>522.0</v>
      </c>
      <c r="C771" s="2">
        <v>3.0</v>
      </c>
      <c r="D771" s="2" t="s">
        <v>263</v>
      </c>
      <c r="E771" s="2" t="s">
        <v>2578</v>
      </c>
      <c r="H771" s="2">
        <v>3.0</v>
      </c>
      <c r="I771" s="2">
        <v>0.0</v>
      </c>
      <c r="K771" s="8" t="str">
        <f t="shared" si="1"/>
        <v>CALL InsertOrUpdateAtributosProductos ('4050','522','3','MEDIDAS','45 x 64 cm','3','0');</v>
      </c>
    </row>
    <row r="772">
      <c r="A772" s="2">
        <v>4051.0</v>
      </c>
      <c r="B772" s="2">
        <v>522.0</v>
      </c>
      <c r="C772" s="2">
        <v>3.0</v>
      </c>
      <c r="D772" s="2" t="s">
        <v>263</v>
      </c>
      <c r="E772" s="2" t="s">
        <v>2579</v>
      </c>
      <c r="H772" s="2">
        <v>4.0</v>
      </c>
      <c r="I772" s="2">
        <v>0.0</v>
      </c>
      <c r="K772" s="8" t="str">
        <f t="shared" si="1"/>
        <v>CALL InsertOrUpdateAtributosProductos ('4051','522','3','MEDIDAS','50 x 70 cm','4','0');</v>
      </c>
    </row>
    <row r="773">
      <c r="A773" s="2">
        <v>4052.0</v>
      </c>
      <c r="B773" s="2">
        <v>522.0</v>
      </c>
      <c r="C773" s="2">
        <v>3.0</v>
      </c>
      <c r="D773" s="2" t="s">
        <v>263</v>
      </c>
      <c r="E773" s="2" t="s">
        <v>2580</v>
      </c>
      <c r="H773" s="2">
        <v>5.0</v>
      </c>
      <c r="I773" s="2">
        <v>0.0</v>
      </c>
      <c r="K773" s="8" t="str">
        <f t="shared" si="1"/>
        <v>CALL InsertOrUpdateAtributosProductos ('4052','522','3','MEDIDAS','64 x 90 cm','5','0');</v>
      </c>
    </row>
    <row r="774">
      <c r="A774" s="2">
        <v>4053.0</v>
      </c>
      <c r="B774" s="2">
        <v>523.0</v>
      </c>
      <c r="C774" s="2">
        <v>3.0</v>
      </c>
      <c r="D774" s="2" t="s">
        <v>263</v>
      </c>
      <c r="E774" s="2" t="s">
        <v>2581</v>
      </c>
      <c r="H774" s="2">
        <v>1.0</v>
      </c>
      <c r="I774" s="2">
        <v>0.0</v>
      </c>
      <c r="K774" s="8" t="str">
        <f t="shared" si="1"/>
        <v>CALL InsertOrUpdateAtributosProductos ('4053','523','3','MEDIDAS','20 cm x 4 kg','1','0');</v>
      </c>
    </row>
    <row r="775">
      <c r="A775" s="2">
        <v>4054.0</v>
      </c>
      <c r="B775" s="2">
        <v>523.0</v>
      </c>
      <c r="C775" s="2">
        <v>3.0</v>
      </c>
      <c r="D775" s="2" t="s">
        <v>263</v>
      </c>
      <c r="E775" s="2" t="s">
        <v>2582</v>
      </c>
      <c r="H775" s="2">
        <v>2.0</v>
      </c>
      <c r="I775" s="2">
        <v>0.0</v>
      </c>
      <c r="K775" s="8" t="str">
        <f t="shared" si="1"/>
        <v>CALL InsertOrUpdateAtributosProductos ('4054','523','3','MEDIDAS','20 cm x 8 kg','2','0');</v>
      </c>
    </row>
    <row r="776">
      <c r="A776" s="2">
        <v>4055.0</v>
      </c>
      <c r="B776" s="2">
        <v>523.0</v>
      </c>
      <c r="C776" s="2">
        <v>3.0</v>
      </c>
      <c r="D776" s="2" t="s">
        <v>263</v>
      </c>
      <c r="E776" s="2" t="s">
        <v>2583</v>
      </c>
      <c r="H776" s="2">
        <v>3.0</v>
      </c>
      <c r="I776" s="2">
        <v>0.0</v>
      </c>
      <c r="K776" s="8" t="str">
        <f t="shared" si="1"/>
        <v>CALL InsertOrUpdateAtributosProductos ('4055','523','3','MEDIDAS','60 cm x 12 kg','3','0');</v>
      </c>
    </row>
    <row r="777">
      <c r="A777" s="2">
        <v>4056.0</v>
      </c>
      <c r="B777" s="2">
        <v>523.0</v>
      </c>
      <c r="C777" s="2">
        <v>3.0</v>
      </c>
      <c r="D777" s="2" t="s">
        <v>263</v>
      </c>
      <c r="E777" s="2" t="s">
        <v>2584</v>
      </c>
      <c r="H777" s="2">
        <v>4.0</v>
      </c>
      <c r="I777" s="2">
        <v>0.0</v>
      </c>
      <c r="K777" s="8" t="str">
        <f t="shared" si="1"/>
        <v>CALL InsertOrUpdateAtributosProductos ('4056','523','3','MEDIDAS','80 cm x 16 kg','4','0');</v>
      </c>
    </row>
    <row r="778">
      <c r="A778" s="2">
        <v>4057.0</v>
      </c>
      <c r="B778" s="2">
        <v>524.0</v>
      </c>
      <c r="C778" s="2">
        <v>3.0</v>
      </c>
      <c r="D778" s="2" t="s">
        <v>263</v>
      </c>
      <c r="E778" s="2" t="s">
        <v>2585</v>
      </c>
      <c r="H778" s="2">
        <v>1.0</v>
      </c>
      <c r="I778" s="2">
        <v>0.0</v>
      </c>
      <c r="K778" s="8" t="str">
        <f t="shared" si="1"/>
        <v>CALL InsertOrUpdateAtributosProductos ('4057','524','3','MEDIDAS','100 cm x 25 mts','1','0');</v>
      </c>
    </row>
    <row r="779">
      <c r="A779" s="2">
        <v>4058.0</v>
      </c>
      <c r="B779" s="2">
        <v>524.0</v>
      </c>
      <c r="C779" s="2">
        <v>3.0</v>
      </c>
      <c r="D779" s="2" t="s">
        <v>263</v>
      </c>
      <c r="E779" s="2" t="s">
        <v>2586</v>
      </c>
      <c r="H779" s="2">
        <v>2.0</v>
      </c>
      <c r="I779" s="2">
        <v>0.0</v>
      </c>
      <c r="K779" s="8" t="str">
        <f t="shared" si="1"/>
        <v>CALL InsertOrUpdateAtributosProductos ('4058','524','3','MEDIDAS','50 cm x 50 mts','2','0');</v>
      </c>
    </row>
    <row r="780">
      <c r="A780" s="2">
        <v>4059.0</v>
      </c>
      <c r="B780" s="2">
        <v>524.0</v>
      </c>
      <c r="C780" s="2">
        <v>3.0</v>
      </c>
      <c r="D780" s="2" t="s">
        <v>263</v>
      </c>
      <c r="E780" s="2" t="s">
        <v>2587</v>
      </c>
      <c r="H780" s="2">
        <v>3.0</v>
      </c>
      <c r="I780" s="2">
        <v>0.0</v>
      </c>
      <c r="K780" s="8" t="str">
        <f t="shared" si="1"/>
        <v>CALL InsertOrUpdateAtributosProductos ('4059','524','3','MEDIDAS','100 cm x 50 mts','3','0');</v>
      </c>
    </row>
    <row r="781">
      <c r="A781" s="2">
        <v>4060.0</v>
      </c>
      <c r="B781" s="2">
        <v>527.0</v>
      </c>
      <c r="C781" s="2">
        <v>3.0</v>
      </c>
      <c r="D781" s="2" t="s">
        <v>263</v>
      </c>
      <c r="E781" s="2" t="s">
        <v>2588</v>
      </c>
      <c r="H781" s="2">
        <v>1.0</v>
      </c>
      <c r="I781" s="2">
        <v>0.0</v>
      </c>
      <c r="K781" s="8" t="str">
        <f t="shared" si="1"/>
        <v>CALL InsertOrUpdateAtributosProductos ('4060','527','3','MEDIDAS','12 mm x 30 mts','1','0');</v>
      </c>
    </row>
    <row r="782">
      <c r="A782" s="2">
        <v>4061.0</v>
      </c>
      <c r="B782" s="2">
        <v>527.0</v>
      </c>
      <c r="C782" s="2">
        <v>3.0</v>
      </c>
      <c r="D782" s="2" t="s">
        <v>263</v>
      </c>
      <c r="E782" s="2" t="s">
        <v>2589</v>
      </c>
      <c r="H782" s="2">
        <v>2.0</v>
      </c>
      <c r="I782" s="2">
        <v>0.0</v>
      </c>
      <c r="K782" s="8" t="str">
        <f t="shared" si="1"/>
        <v>CALL InsertOrUpdateAtributosProductos ('4061','527','3','MEDIDAS','12 mm x 60 mts','2','0');</v>
      </c>
    </row>
    <row r="783">
      <c r="A783" s="2">
        <v>4062.0</v>
      </c>
      <c r="B783" s="2">
        <v>530.0</v>
      </c>
      <c r="C783" s="2">
        <v>3.0</v>
      </c>
      <c r="D783" s="2" t="s">
        <v>263</v>
      </c>
      <c r="E783" s="2" t="s">
        <v>2590</v>
      </c>
      <c r="H783" s="2">
        <v>1.0</v>
      </c>
      <c r="I783" s="2">
        <v>0.0</v>
      </c>
      <c r="K783" s="8" t="str">
        <f t="shared" si="1"/>
        <v>CALL InsertOrUpdateAtributosProductos ('4062','530','3','MEDIDAS','12 mm','1','0');</v>
      </c>
    </row>
    <row r="784">
      <c r="A784" s="2">
        <v>4063.0</v>
      </c>
      <c r="B784" s="2">
        <v>530.0</v>
      </c>
      <c r="C784" s="2">
        <v>3.0</v>
      </c>
      <c r="D784" s="2" t="s">
        <v>263</v>
      </c>
      <c r="E784" s="2" t="s">
        <v>2290</v>
      </c>
      <c r="H784" s="2">
        <v>2.0</v>
      </c>
      <c r="I784" s="2">
        <v>0.0</v>
      </c>
      <c r="K784" s="8" t="str">
        <f t="shared" si="1"/>
        <v>CALL InsertOrUpdateAtributosProductos ('4063','530','3','MEDIDAS','18 mm','2','0');</v>
      </c>
    </row>
    <row r="785">
      <c r="A785" s="2">
        <v>4064.0</v>
      </c>
      <c r="B785" s="2">
        <v>530.0</v>
      </c>
      <c r="C785" s="2">
        <v>3.0</v>
      </c>
      <c r="D785" s="2" t="s">
        <v>263</v>
      </c>
      <c r="E785" s="2" t="s">
        <v>2291</v>
      </c>
      <c r="H785" s="2">
        <v>3.0</v>
      </c>
      <c r="I785" s="2">
        <v>0.0</v>
      </c>
      <c r="K785" s="8" t="str">
        <f t="shared" si="1"/>
        <v>CALL InsertOrUpdateAtributosProductos ('4064','530','3','MEDIDAS','24 mm','3','0');</v>
      </c>
    </row>
    <row r="786">
      <c r="A786" s="2">
        <v>4065.0</v>
      </c>
      <c r="B786" s="2">
        <v>530.0</v>
      </c>
      <c r="C786" s="2">
        <v>3.0</v>
      </c>
      <c r="D786" s="2" t="s">
        <v>263</v>
      </c>
      <c r="E786" s="2" t="s">
        <v>2292</v>
      </c>
      <c r="H786" s="2">
        <v>4.0</v>
      </c>
      <c r="I786" s="2">
        <v>0.0</v>
      </c>
      <c r="K786" s="8" t="str">
        <f t="shared" si="1"/>
        <v>CALL InsertOrUpdateAtributosProductos ('4065','530','3','MEDIDAS','36 mm','4','0');</v>
      </c>
    </row>
    <row r="787">
      <c r="A787" s="2">
        <v>4066.0</v>
      </c>
      <c r="B787" s="2">
        <v>530.0</v>
      </c>
      <c r="C787" s="2">
        <v>3.0</v>
      </c>
      <c r="D787" s="2" t="s">
        <v>263</v>
      </c>
      <c r="E787" s="2" t="s">
        <v>2293</v>
      </c>
      <c r="H787" s="2">
        <v>5.0</v>
      </c>
      <c r="I787" s="2">
        <v>0.0</v>
      </c>
      <c r="K787" s="8" t="str">
        <f t="shared" si="1"/>
        <v>CALL InsertOrUpdateAtributosProductos ('4066','530','3','MEDIDAS','48 mm','5','0');</v>
      </c>
    </row>
    <row r="788">
      <c r="A788" s="2">
        <v>4067.0</v>
      </c>
      <c r="B788" s="2">
        <v>531.0</v>
      </c>
      <c r="C788" s="2">
        <v>3.0</v>
      </c>
      <c r="D788" s="2" t="s">
        <v>263</v>
      </c>
      <c r="E788" s="2" t="s">
        <v>2590</v>
      </c>
      <c r="H788" s="2">
        <v>1.0</v>
      </c>
      <c r="I788" s="2">
        <v>0.0</v>
      </c>
      <c r="K788" s="8" t="str">
        <f t="shared" si="1"/>
        <v>CALL InsertOrUpdateAtributosProductos ('4067','531','3','MEDIDAS','12 mm','1','0');</v>
      </c>
    </row>
    <row r="789">
      <c r="A789" s="2">
        <v>4068.0</v>
      </c>
      <c r="B789" s="2">
        <v>531.0</v>
      </c>
      <c r="C789" s="2">
        <v>3.0</v>
      </c>
      <c r="D789" s="2" t="s">
        <v>263</v>
      </c>
      <c r="E789" s="2" t="s">
        <v>2290</v>
      </c>
      <c r="H789" s="2">
        <v>2.0</v>
      </c>
      <c r="I789" s="2">
        <v>0.0</v>
      </c>
      <c r="K789" s="8" t="str">
        <f t="shared" si="1"/>
        <v>CALL InsertOrUpdateAtributosProductos ('4068','531','3','MEDIDAS','18 mm','2','0');</v>
      </c>
    </row>
    <row r="790">
      <c r="A790" s="2">
        <v>4069.0</v>
      </c>
      <c r="B790" s="2">
        <v>531.0</v>
      </c>
      <c r="C790" s="2">
        <v>3.0</v>
      </c>
      <c r="D790" s="2" t="s">
        <v>263</v>
      </c>
      <c r="E790" s="2" t="s">
        <v>2291</v>
      </c>
      <c r="H790" s="2">
        <v>3.0</v>
      </c>
      <c r="I790" s="2">
        <v>0.0</v>
      </c>
      <c r="K790" s="8" t="str">
        <f t="shared" si="1"/>
        <v>CALL InsertOrUpdateAtributosProductos ('4069','531','3','MEDIDAS','24 mm','3','0');</v>
      </c>
    </row>
    <row r="791">
      <c r="A791" s="2">
        <v>4070.0</v>
      </c>
      <c r="B791" s="2">
        <v>531.0</v>
      </c>
      <c r="C791" s="2">
        <v>3.0</v>
      </c>
      <c r="D791" s="2" t="s">
        <v>263</v>
      </c>
      <c r="E791" s="2" t="s">
        <v>2292</v>
      </c>
      <c r="H791" s="2">
        <v>4.0</v>
      </c>
      <c r="I791" s="2">
        <v>0.0</v>
      </c>
      <c r="K791" s="8" t="str">
        <f t="shared" si="1"/>
        <v>CALL InsertOrUpdateAtributosProductos ('4070','531','3','MEDIDAS','36 mm','4','0');</v>
      </c>
    </row>
    <row r="792">
      <c r="A792" s="2">
        <v>4071.0</v>
      </c>
      <c r="B792" s="2">
        <v>531.0</v>
      </c>
      <c r="C792" s="2">
        <v>3.0</v>
      </c>
      <c r="D792" s="2" t="s">
        <v>263</v>
      </c>
      <c r="E792" s="2" t="s">
        <v>2293</v>
      </c>
      <c r="H792" s="2">
        <v>5.0</v>
      </c>
      <c r="I792" s="2">
        <v>0.0</v>
      </c>
      <c r="K792" s="8" t="str">
        <f t="shared" si="1"/>
        <v>CALL InsertOrUpdateAtributosProductos ('4071','531','3','MEDIDAS','48 mm','5','0');</v>
      </c>
    </row>
    <row r="793">
      <c r="A793" s="2">
        <v>4072.0</v>
      </c>
      <c r="B793" s="2">
        <v>535.0</v>
      </c>
      <c r="C793" s="2">
        <v>8.0</v>
      </c>
      <c r="D793" s="2" t="s">
        <v>581</v>
      </c>
      <c r="E793" s="2" t="s">
        <v>2591</v>
      </c>
      <c r="H793" s="2">
        <v>1.0</v>
      </c>
      <c r="I793" s="2">
        <v>0.0</v>
      </c>
      <c r="K793" s="8" t="str">
        <f t="shared" si="1"/>
        <v>CALL InsertOrUpdateAtributosProductos ('4072','535','8','COLOR','Negra','1','0');</v>
      </c>
    </row>
    <row r="794">
      <c r="A794" s="2">
        <v>4073.0</v>
      </c>
      <c r="B794" s="2">
        <v>535.0</v>
      </c>
      <c r="C794" s="2">
        <v>8.0</v>
      </c>
      <c r="D794" s="2" t="s">
        <v>581</v>
      </c>
      <c r="E794" s="2" t="s">
        <v>2592</v>
      </c>
      <c r="H794" s="2">
        <v>1.0</v>
      </c>
      <c r="I794" s="2">
        <v>0.0</v>
      </c>
      <c r="K794" s="8" t="str">
        <f t="shared" si="1"/>
        <v>CALL InsertOrUpdateAtributosProductos ('4073','535','8','COLOR','Roja','1','0');</v>
      </c>
    </row>
    <row r="795">
      <c r="A795" s="2">
        <v>4074.0</v>
      </c>
      <c r="B795" s="2">
        <v>535.0</v>
      </c>
      <c r="C795" s="2">
        <v>8.0</v>
      </c>
      <c r="D795" s="2" t="s">
        <v>581</v>
      </c>
      <c r="E795" s="2" t="s">
        <v>2593</v>
      </c>
      <c r="H795" s="2">
        <v>1.0</v>
      </c>
      <c r="I795" s="2">
        <v>0.0</v>
      </c>
      <c r="K795" s="8" t="str">
        <f t="shared" si="1"/>
        <v>CALL InsertOrUpdateAtributosProductos ('4074','535','8','COLOR','Verde Cristal','1','0');</v>
      </c>
    </row>
    <row r="796">
      <c r="A796" s="2">
        <v>4075.0</v>
      </c>
      <c r="B796" s="2">
        <v>535.0</v>
      </c>
      <c r="C796" s="2">
        <v>3.0</v>
      </c>
      <c r="D796" s="2" t="s">
        <v>263</v>
      </c>
      <c r="E796" s="2" t="s">
        <v>2594</v>
      </c>
      <c r="H796" s="2">
        <v>1.0</v>
      </c>
      <c r="I796" s="2">
        <v>0.0</v>
      </c>
      <c r="K796" s="8" t="str">
        <f t="shared" si="1"/>
        <v>CALL InsertOrUpdateAtributosProductos ('4075','535','3','MEDIDAS','60 x 90 cm','1','0');</v>
      </c>
    </row>
    <row r="797">
      <c r="A797" s="2">
        <v>4076.0</v>
      </c>
      <c r="B797" s="2">
        <v>535.0</v>
      </c>
      <c r="C797" s="2">
        <v>3.0</v>
      </c>
      <c r="D797" s="2" t="s">
        <v>263</v>
      </c>
      <c r="E797" s="2" t="s">
        <v>2595</v>
      </c>
      <c r="H797" s="2">
        <v>2.0</v>
      </c>
      <c r="I797" s="2">
        <v>0.0</v>
      </c>
      <c r="K797" s="8" t="str">
        <f t="shared" si="1"/>
        <v>CALL InsertOrUpdateAtributosProductos ('4076','535','3','MEDIDAS','80 x 110 cm','2','0');</v>
      </c>
    </row>
    <row r="798">
      <c r="A798" s="2">
        <v>4077.0</v>
      </c>
      <c r="B798" s="2">
        <v>535.0</v>
      </c>
      <c r="C798" s="2">
        <v>3.0</v>
      </c>
      <c r="D798" s="2" t="s">
        <v>263</v>
      </c>
      <c r="E798" s="2" t="s">
        <v>2596</v>
      </c>
      <c r="H798" s="2">
        <v>3.0</v>
      </c>
      <c r="I798" s="2">
        <v>0.0</v>
      </c>
      <c r="K798" s="8" t="str">
        <f t="shared" si="1"/>
        <v>CALL InsertOrUpdateAtributosProductos ('4077','535','3','MEDIDAS','90 x 120 cm','3','0');</v>
      </c>
    </row>
    <row r="799">
      <c r="A799" s="2">
        <v>4078.0</v>
      </c>
      <c r="B799" s="2">
        <v>535.0</v>
      </c>
      <c r="C799" s="2">
        <v>3.0</v>
      </c>
      <c r="D799" s="2" t="s">
        <v>263</v>
      </c>
      <c r="E799" s="2" t="s">
        <v>2594</v>
      </c>
      <c r="H799" s="2">
        <v>4.0</v>
      </c>
      <c r="I799" s="2">
        <v>0.0</v>
      </c>
      <c r="K799" s="8" t="str">
        <f t="shared" si="1"/>
        <v>CALL InsertOrUpdateAtributosProductos ('4078','535','3','MEDIDAS','60 x 90 cm','4','0');</v>
      </c>
    </row>
    <row r="800">
      <c r="A800" s="2">
        <v>4079.0</v>
      </c>
      <c r="B800" s="2">
        <v>535.0</v>
      </c>
      <c r="C800" s="2">
        <v>3.0</v>
      </c>
      <c r="D800" s="2" t="s">
        <v>263</v>
      </c>
      <c r="E800" s="2" t="s">
        <v>2595</v>
      </c>
      <c r="H800" s="2">
        <v>5.0</v>
      </c>
      <c r="I800" s="2">
        <v>0.0</v>
      </c>
      <c r="K800" s="8" t="str">
        <f t="shared" si="1"/>
        <v>CALL InsertOrUpdateAtributosProductos ('4079','535','3','MEDIDAS','80 x 110 cm','5','0');</v>
      </c>
    </row>
    <row r="801">
      <c r="A801" s="2">
        <v>4080.0</v>
      </c>
      <c r="B801" s="2">
        <v>535.0</v>
      </c>
      <c r="C801" s="2">
        <v>3.0</v>
      </c>
      <c r="D801" s="2" t="s">
        <v>263</v>
      </c>
      <c r="E801" s="2" t="s">
        <v>2594</v>
      </c>
      <c r="H801" s="2">
        <v>6.0</v>
      </c>
      <c r="I801" s="2">
        <v>0.0</v>
      </c>
      <c r="K801" s="8" t="str">
        <f t="shared" si="1"/>
        <v>CALL InsertOrUpdateAtributosProductos ('4080','535','3','MEDIDAS','60 x 90 cm','6','0');</v>
      </c>
    </row>
    <row r="802">
      <c r="A802" s="2">
        <v>4081.0</v>
      </c>
      <c r="B802" s="2">
        <v>535.0</v>
      </c>
      <c r="C802" s="2">
        <v>3.0</v>
      </c>
      <c r="D802" s="2" t="s">
        <v>263</v>
      </c>
      <c r="E802" s="2" t="s">
        <v>2595</v>
      </c>
      <c r="H802" s="2">
        <v>7.0</v>
      </c>
      <c r="I802" s="2">
        <v>0.0</v>
      </c>
      <c r="K802" s="8" t="str">
        <f t="shared" si="1"/>
        <v>CALL InsertOrUpdateAtributosProductos ('4081','535','3','MEDIDAS','80 x 110 cm','7','0');</v>
      </c>
    </row>
    <row r="803">
      <c r="A803" s="2">
        <v>4082.0</v>
      </c>
      <c r="B803" s="2">
        <v>535.0</v>
      </c>
      <c r="C803" s="2">
        <v>3.0</v>
      </c>
      <c r="D803" s="2" t="s">
        <v>263</v>
      </c>
      <c r="E803" s="2" t="s">
        <v>2594</v>
      </c>
      <c r="H803" s="2">
        <v>8.0</v>
      </c>
      <c r="I803" s="2">
        <v>0.0</v>
      </c>
      <c r="K803" s="8" t="str">
        <f t="shared" si="1"/>
        <v>CALL InsertOrUpdateAtributosProductos ('4082','535','3','MEDIDAS','60 x 90 cm','8','0');</v>
      </c>
    </row>
    <row r="804">
      <c r="A804" s="2">
        <v>4083.0</v>
      </c>
      <c r="B804" s="2">
        <v>535.0</v>
      </c>
      <c r="C804" s="2">
        <v>3.0</v>
      </c>
      <c r="D804" s="2" t="s">
        <v>263</v>
      </c>
      <c r="E804" s="2" t="s">
        <v>2595</v>
      </c>
      <c r="H804" s="2">
        <v>9.0</v>
      </c>
      <c r="I804" s="2">
        <v>0.0</v>
      </c>
      <c r="K804" s="8" t="str">
        <f t="shared" si="1"/>
        <v>CALL InsertOrUpdateAtributosProductos ('4083','535','3','MEDIDAS','80 x 110 cm','9','0');</v>
      </c>
    </row>
    <row r="805">
      <c r="A805" s="2">
        <v>4084.0</v>
      </c>
      <c r="B805" s="2">
        <v>537.0</v>
      </c>
      <c r="C805" s="2">
        <v>3.0</v>
      </c>
      <c r="D805" s="2" t="s">
        <v>263</v>
      </c>
      <c r="E805" s="2" t="s">
        <v>2597</v>
      </c>
      <c r="H805" s="2">
        <v>1.0</v>
      </c>
      <c r="I805" s="2">
        <v>0.0</v>
      </c>
      <c r="K805" s="8" t="str">
        <f t="shared" si="1"/>
        <v>CALL InsertOrUpdateAtributosProductos ('4084','537','3','MEDIDAS','15 x 20 cm','1','0');</v>
      </c>
    </row>
    <row r="806">
      <c r="A806" s="2">
        <v>4085.0</v>
      </c>
      <c r="B806" s="2">
        <v>537.0</v>
      </c>
      <c r="C806" s="2">
        <v>3.0</v>
      </c>
      <c r="D806" s="2" t="s">
        <v>263</v>
      </c>
      <c r="E806" s="2" t="s">
        <v>2598</v>
      </c>
      <c r="H806" s="2">
        <v>2.0</v>
      </c>
      <c r="I806" s="2">
        <v>0.0</v>
      </c>
      <c r="K806" s="8" t="str">
        <f t="shared" si="1"/>
        <v>CALL InsertOrUpdateAtributosProductos ('4085','537','3','MEDIDAS','20 x 30 cm','2','0');</v>
      </c>
    </row>
    <row r="807">
      <c r="A807" s="2">
        <v>4086.0</v>
      </c>
      <c r="B807" s="2">
        <v>537.0</v>
      </c>
      <c r="C807" s="2">
        <v>3.0</v>
      </c>
      <c r="D807" s="2" t="s">
        <v>263</v>
      </c>
      <c r="E807" s="2" t="s">
        <v>2491</v>
      </c>
      <c r="H807" s="2">
        <v>3.0</v>
      </c>
      <c r="I807" s="2">
        <v>0.0</v>
      </c>
      <c r="K807" s="8" t="str">
        <f t="shared" si="1"/>
        <v>CALL InsertOrUpdateAtributosProductos ('4086','537','3','MEDIDAS','25 x 35 cm','3','0');</v>
      </c>
    </row>
    <row r="808">
      <c r="A808" s="2">
        <v>4087.0</v>
      </c>
      <c r="B808" s="2">
        <v>537.0</v>
      </c>
      <c r="C808" s="2">
        <v>3.0</v>
      </c>
      <c r="D808" s="2" t="s">
        <v>263</v>
      </c>
      <c r="E808" s="2" t="s">
        <v>2577</v>
      </c>
      <c r="H808" s="2">
        <v>4.0</v>
      </c>
      <c r="I808" s="2">
        <v>0.0</v>
      </c>
      <c r="K808" s="8" t="str">
        <f t="shared" si="1"/>
        <v>CALL InsertOrUpdateAtributosProductos ('4087','537','3','MEDIDAS','30 x 40 cm','4','0');</v>
      </c>
    </row>
    <row r="809">
      <c r="A809" s="2">
        <v>4088.0</v>
      </c>
      <c r="B809" s="2">
        <v>537.0</v>
      </c>
      <c r="C809" s="2">
        <v>3.0</v>
      </c>
      <c r="D809" s="2" t="s">
        <v>263</v>
      </c>
      <c r="E809" s="2" t="s">
        <v>2599</v>
      </c>
      <c r="H809" s="2">
        <v>5.0</v>
      </c>
      <c r="I809" s="2">
        <v>0.0</v>
      </c>
      <c r="K809" s="8" t="str">
        <f t="shared" si="1"/>
        <v>CALL InsertOrUpdateAtributosProductos ('4088','537','3','MEDIDAS','35 x 45 cm','5','0');</v>
      </c>
    </row>
    <row r="810">
      <c r="A810" s="2">
        <v>4089.0</v>
      </c>
      <c r="B810" s="2">
        <v>537.0</v>
      </c>
      <c r="C810" s="2">
        <v>3.0</v>
      </c>
      <c r="D810" s="2" t="s">
        <v>263</v>
      </c>
      <c r="E810" s="2" t="s">
        <v>2147</v>
      </c>
      <c r="H810" s="2">
        <v>6.0</v>
      </c>
      <c r="I810" s="2">
        <v>0.0</v>
      </c>
      <c r="K810" s="8" t="str">
        <f t="shared" si="1"/>
        <v>CALL InsertOrUpdateAtributosProductos ('4089','537','3','MEDIDAS','40 x 50 cm','6','0');</v>
      </c>
    </row>
    <row r="811">
      <c r="A811" s="2">
        <v>4090.0</v>
      </c>
      <c r="B811" s="2">
        <v>537.0</v>
      </c>
      <c r="C811" s="2">
        <v>3.0</v>
      </c>
      <c r="D811" s="2" t="s">
        <v>263</v>
      </c>
      <c r="E811" s="2" t="s">
        <v>2148</v>
      </c>
      <c r="H811" s="2">
        <v>7.0</v>
      </c>
      <c r="I811" s="2">
        <v>0.0</v>
      </c>
      <c r="K811" s="8" t="str">
        <f t="shared" si="1"/>
        <v>CALL InsertOrUpdateAtributosProductos ('4090','537','3','MEDIDAS','50 x 60 cm','7','0');</v>
      </c>
    </row>
    <row r="812">
      <c r="A812" s="2">
        <v>4091.0</v>
      </c>
      <c r="B812" s="2">
        <v>537.0</v>
      </c>
      <c r="C812" s="2">
        <v>3.0</v>
      </c>
      <c r="D812" s="2" t="s">
        <v>263</v>
      </c>
      <c r="E812" s="2" t="s">
        <v>2594</v>
      </c>
      <c r="H812" s="2">
        <v>8.0</v>
      </c>
      <c r="I812" s="2">
        <v>0.0</v>
      </c>
      <c r="K812" s="8" t="str">
        <f t="shared" si="1"/>
        <v>CALL InsertOrUpdateAtributosProductos ('4091','537','3','MEDIDAS','60 x 90 cm','8','0');</v>
      </c>
    </row>
    <row r="813">
      <c r="A813" s="2">
        <v>4092.0</v>
      </c>
      <c r="B813" s="2">
        <v>538.0</v>
      </c>
      <c r="C813" s="2">
        <v>3.0</v>
      </c>
      <c r="D813" s="2" t="s">
        <v>263</v>
      </c>
      <c r="E813" s="2" t="s">
        <v>2577</v>
      </c>
      <c r="H813" s="2">
        <v>1.0</v>
      </c>
      <c r="I813" s="2">
        <v>0.0</v>
      </c>
      <c r="K813" s="8" t="str">
        <f t="shared" si="1"/>
        <v>CALL InsertOrUpdateAtributosProductos ('4092','538','3','MEDIDAS','30 x 40 cm','1','0');</v>
      </c>
    </row>
    <row r="814">
      <c r="A814" s="2">
        <v>4093.0</v>
      </c>
      <c r="B814" s="2">
        <v>538.0</v>
      </c>
      <c r="C814" s="2">
        <v>3.0</v>
      </c>
      <c r="D814" s="2" t="s">
        <v>263</v>
      </c>
      <c r="E814" s="2" t="s">
        <v>2147</v>
      </c>
      <c r="H814" s="2">
        <v>2.0</v>
      </c>
      <c r="I814" s="2">
        <v>0.0</v>
      </c>
      <c r="K814" s="8" t="str">
        <f t="shared" si="1"/>
        <v>CALL InsertOrUpdateAtributosProductos ('4093','538','3','MEDIDAS','40 x 50 cm','2','0');</v>
      </c>
    </row>
    <row r="815">
      <c r="A815" s="2">
        <v>4094.0</v>
      </c>
      <c r="B815" s="2">
        <v>538.0</v>
      </c>
      <c r="C815" s="2">
        <v>3.0</v>
      </c>
      <c r="D815" s="2" t="s">
        <v>263</v>
      </c>
      <c r="E815" s="2" t="s">
        <v>2600</v>
      </c>
      <c r="H815" s="2">
        <v>3.0</v>
      </c>
      <c r="I815" s="2">
        <v>0.0</v>
      </c>
      <c r="K815" s="8" t="str">
        <f t="shared" si="1"/>
        <v>CALL InsertOrUpdateAtributosProductos ('4094','538','3','MEDIDAS','50 x 50 cm','3','0');</v>
      </c>
    </row>
    <row r="816">
      <c r="A816" s="2">
        <v>4095.0</v>
      </c>
      <c r="B816" s="2">
        <v>538.0</v>
      </c>
      <c r="C816" s="2">
        <v>3.0</v>
      </c>
      <c r="D816" s="2" t="s">
        <v>263</v>
      </c>
      <c r="E816" s="2" t="s">
        <v>2148</v>
      </c>
      <c r="H816" s="2">
        <v>4.0</v>
      </c>
      <c r="I816" s="2">
        <v>0.0</v>
      </c>
      <c r="K816" s="8" t="str">
        <f t="shared" si="1"/>
        <v>CALL InsertOrUpdateAtributosProductos ('4095','538','3','MEDIDAS','50 x 60 cm','4','0');</v>
      </c>
    </row>
    <row r="817">
      <c r="A817" s="2">
        <v>4096.0</v>
      </c>
      <c r="B817" s="2">
        <v>538.0</v>
      </c>
      <c r="C817" s="2">
        <v>3.0</v>
      </c>
      <c r="D817" s="2" t="s">
        <v>263</v>
      </c>
      <c r="E817" s="2" t="s">
        <v>2492</v>
      </c>
      <c r="H817" s="2">
        <v>5.0</v>
      </c>
      <c r="I817" s="2">
        <v>0.0</v>
      </c>
      <c r="K817" s="8" t="str">
        <f t="shared" si="1"/>
        <v>CALL InsertOrUpdateAtributosProductos ('4096','538','3','MEDIDAS','60 x 80 cm','5','0');</v>
      </c>
    </row>
    <row r="818">
      <c r="A818" s="2">
        <v>4097.0</v>
      </c>
      <c r="B818" s="2">
        <v>539.0</v>
      </c>
      <c r="C818" s="2">
        <v>3.0</v>
      </c>
      <c r="D818" s="2" t="s">
        <v>263</v>
      </c>
      <c r="E818" s="2" t="s">
        <v>2577</v>
      </c>
      <c r="H818" s="2">
        <v>1.0</v>
      </c>
      <c r="I818" s="2">
        <v>0.0</v>
      </c>
      <c r="K818" s="8" t="str">
        <f t="shared" si="1"/>
        <v>CALL InsertOrUpdateAtributosProductos ('4097','539','3','MEDIDAS','30 x 40 cm','1','0');</v>
      </c>
    </row>
    <row r="819">
      <c r="A819" s="2">
        <v>4098.0</v>
      </c>
      <c r="B819" s="2">
        <v>539.0</v>
      </c>
      <c r="C819" s="2">
        <v>3.0</v>
      </c>
      <c r="D819" s="2" t="s">
        <v>263</v>
      </c>
      <c r="E819" s="2" t="s">
        <v>2147</v>
      </c>
      <c r="H819" s="2">
        <v>2.0</v>
      </c>
      <c r="I819" s="2">
        <v>0.0</v>
      </c>
      <c r="K819" s="8" t="str">
        <f t="shared" si="1"/>
        <v>CALL InsertOrUpdateAtributosProductos ('4098','539','3','MEDIDAS','40 x 50 cm','2','0');</v>
      </c>
    </row>
    <row r="820">
      <c r="A820" s="2">
        <v>4099.0</v>
      </c>
      <c r="B820" s="2">
        <v>539.0</v>
      </c>
      <c r="C820" s="2">
        <v>3.0</v>
      </c>
      <c r="D820" s="2" t="s">
        <v>263</v>
      </c>
      <c r="E820" s="2" t="s">
        <v>2600</v>
      </c>
      <c r="H820" s="2">
        <v>3.0</v>
      </c>
      <c r="I820" s="2">
        <v>0.0</v>
      </c>
      <c r="K820" s="8" t="str">
        <f t="shared" si="1"/>
        <v>CALL InsertOrUpdateAtributosProductos ('4099','539','3','MEDIDAS','50 x 50 cm','3','0');</v>
      </c>
    </row>
    <row r="821">
      <c r="A821" s="2">
        <v>4100.0</v>
      </c>
      <c r="B821" s="2">
        <v>539.0</v>
      </c>
      <c r="C821" s="2">
        <v>3.0</v>
      </c>
      <c r="D821" s="2" t="s">
        <v>263</v>
      </c>
      <c r="E821" s="2" t="s">
        <v>2148</v>
      </c>
      <c r="H821" s="2">
        <v>4.0</v>
      </c>
      <c r="I821" s="2">
        <v>0.0</v>
      </c>
      <c r="K821" s="8" t="str">
        <f t="shared" si="1"/>
        <v>CALL InsertOrUpdateAtributosProductos ('4100','539','3','MEDIDAS','50 x 60 cm','4','0');</v>
      </c>
    </row>
    <row r="822">
      <c r="A822" s="2">
        <v>4101.0</v>
      </c>
      <c r="B822" s="2">
        <v>539.0</v>
      </c>
      <c r="C822" s="2">
        <v>3.0</v>
      </c>
      <c r="D822" s="2" t="s">
        <v>263</v>
      </c>
      <c r="E822" s="2" t="s">
        <v>2492</v>
      </c>
      <c r="H822" s="2">
        <v>5.0</v>
      </c>
      <c r="I822" s="2">
        <v>0.0</v>
      </c>
      <c r="K822" s="8" t="str">
        <f t="shared" si="1"/>
        <v>CALL InsertOrUpdateAtributosProductos ('4101','539','3','MEDIDAS','60 x 80 cm','5','0');</v>
      </c>
    </row>
    <row r="823">
      <c r="A823" s="2">
        <v>4102.0</v>
      </c>
      <c r="B823" s="2">
        <v>540.0</v>
      </c>
      <c r="C823" s="2">
        <v>3.0</v>
      </c>
      <c r="D823" s="2" t="s">
        <v>263</v>
      </c>
      <c r="E823" s="2" t="s">
        <v>2601</v>
      </c>
      <c r="H823" s="2">
        <v>1.0</v>
      </c>
      <c r="I823" s="2">
        <v>0.0</v>
      </c>
      <c r="K823" s="8" t="str">
        <f t="shared" si="1"/>
        <v>CALL InsertOrUpdateAtributosProductos ('4102','540','3','MEDIDAS','5 x 7 cm','1','0');</v>
      </c>
    </row>
    <row r="824">
      <c r="A824" s="2">
        <v>4103.0</v>
      </c>
      <c r="B824" s="2">
        <v>540.0</v>
      </c>
      <c r="C824" s="2">
        <v>3.0</v>
      </c>
      <c r="D824" s="2" t="s">
        <v>263</v>
      </c>
      <c r="E824" s="2" t="s">
        <v>2602</v>
      </c>
      <c r="H824" s="2">
        <v>2.0</v>
      </c>
      <c r="I824" s="2">
        <v>0.0</v>
      </c>
      <c r="K824" s="8" t="str">
        <f t="shared" si="1"/>
        <v>CALL InsertOrUpdateAtributosProductos ('4103','540','3','MEDIDAS','7 x 10 cm','2','0');</v>
      </c>
    </row>
    <row r="825">
      <c r="A825" s="2">
        <v>4104.0</v>
      </c>
      <c r="B825" s="2">
        <v>540.0</v>
      </c>
      <c r="C825" s="2">
        <v>3.0</v>
      </c>
      <c r="D825" s="2" t="s">
        <v>263</v>
      </c>
      <c r="E825" s="2" t="s">
        <v>2603</v>
      </c>
      <c r="H825" s="2">
        <v>3.0</v>
      </c>
      <c r="I825" s="2">
        <v>0.0</v>
      </c>
      <c r="K825" s="8" t="str">
        <f t="shared" si="1"/>
        <v>CALL InsertOrUpdateAtributosProductos ('4104','540','3','MEDIDAS','9 x 12 cm','3','0');</v>
      </c>
    </row>
    <row r="826">
      <c r="A826" s="2">
        <v>4105.0</v>
      </c>
      <c r="B826" s="2">
        <v>540.0</v>
      </c>
      <c r="C826" s="2">
        <v>3.0</v>
      </c>
      <c r="D826" s="2" t="s">
        <v>263</v>
      </c>
      <c r="E826" s="2" t="s">
        <v>2188</v>
      </c>
      <c r="H826" s="2">
        <v>4.0</v>
      </c>
      <c r="I826" s="2">
        <v>0.0</v>
      </c>
      <c r="K826" s="8" t="str">
        <f t="shared" si="1"/>
        <v>CALL InsertOrUpdateAtributosProductos ('4105','540','3','MEDIDAS','10 x 15 cm','4','0');</v>
      </c>
    </row>
    <row r="827">
      <c r="A827" s="2">
        <v>4106.0</v>
      </c>
      <c r="B827" s="2">
        <v>540.0</v>
      </c>
      <c r="C827" s="2">
        <v>3.0</v>
      </c>
      <c r="D827" s="2" t="s">
        <v>263</v>
      </c>
      <c r="E827" s="2" t="s">
        <v>2604</v>
      </c>
      <c r="H827" s="2">
        <v>5.0</v>
      </c>
      <c r="I827" s="2">
        <v>0.0</v>
      </c>
      <c r="K827" s="8" t="str">
        <f t="shared" si="1"/>
        <v>CALL InsertOrUpdateAtributosProductos ('4106','540','3','MEDIDAS','12 x 17 cm','5','0');</v>
      </c>
    </row>
    <row r="828">
      <c r="A828" s="2">
        <v>4107.0</v>
      </c>
      <c r="B828" s="2">
        <v>540.0</v>
      </c>
      <c r="C828" s="2">
        <v>3.0</v>
      </c>
      <c r="D828" s="2" t="s">
        <v>263</v>
      </c>
      <c r="E828" s="2" t="s">
        <v>2597</v>
      </c>
      <c r="H828" s="2">
        <v>6.0</v>
      </c>
      <c r="I828" s="2">
        <v>0.0</v>
      </c>
      <c r="K828" s="8" t="str">
        <f t="shared" si="1"/>
        <v>CALL InsertOrUpdateAtributosProductos ('4107','540','3','MEDIDAS','15 x 20 cm','6','0');</v>
      </c>
    </row>
    <row r="829">
      <c r="A829" s="2">
        <v>4108.0</v>
      </c>
      <c r="B829" s="2">
        <v>540.0</v>
      </c>
      <c r="C829" s="2">
        <v>3.0</v>
      </c>
      <c r="D829" s="2" t="s">
        <v>263</v>
      </c>
      <c r="E829" s="2" t="s">
        <v>2605</v>
      </c>
      <c r="H829" s="2">
        <v>7.0</v>
      </c>
      <c r="I829" s="2">
        <v>0.0</v>
      </c>
      <c r="K829" s="8" t="str">
        <f t="shared" si="1"/>
        <v>CALL InsertOrUpdateAtributosProductos ('4108','540','3','MEDIDAS','17 x 25 cm','7','0');</v>
      </c>
    </row>
    <row r="830">
      <c r="A830" s="2">
        <v>4109.0</v>
      </c>
      <c r="B830" s="2">
        <v>540.0</v>
      </c>
      <c r="C830" s="2">
        <v>3.0</v>
      </c>
      <c r="D830" s="2" t="s">
        <v>263</v>
      </c>
      <c r="E830" s="2" t="s">
        <v>2598</v>
      </c>
      <c r="H830" s="2">
        <v>8.0</v>
      </c>
      <c r="I830" s="2">
        <v>0.0</v>
      </c>
      <c r="K830" s="8" t="str">
        <f t="shared" si="1"/>
        <v>CALL InsertOrUpdateAtributosProductos ('4109','540','3','MEDIDAS','20 x 30 cm','8','0');</v>
      </c>
    </row>
    <row r="831">
      <c r="A831" s="2">
        <v>4110.0</v>
      </c>
      <c r="B831" s="2">
        <v>540.0</v>
      </c>
      <c r="C831" s="2">
        <v>3.0</v>
      </c>
      <c r="D831" s="2" t="s">
        <v>263</v>
      </c>
      <c r="E831" s="2" t="s">
        <v>2577</v>
      </c>
      <c r="H831" s="2">
        <v>9.0</v>
      </c>
      <c r="I831" s="2">
        <v>0.0</v>
      </c>
      <c r="K831" s="8" t="str">
        <f t="shared" si="1"/>
        <v>CALL InsertOrUpdateAtributosProductos ('4110','540','3','MEDIDAS','30 x 40 cm','9','0');</v>
      </c>
    </row>
    <row r="832">
      <c r="A832" s="2">
        <v>4111.0</v>
      </c>
      <c r="B832" s="2">
        <v>540.0</v>
      </c>
      <c r="C832" s="2">
        <v>3.0</v>
      </c>
      <c r="D832" s="2" t="s">
        <v>263</v>
      </c>
      <c r="E832" s="2" t="s">
        <v>2599</v>
      </c>
      <c r="H832" s="2">
        <v>10.0</v>
      </c>
      <c r="I832" s="2">
        <v>0.0</v>
      </c>
      <c r="K832" s="8" t="str">
        <f t="shared" si="1"/>
        <v>CALL InsertOrUpdateAtributosProductos ('4111','540','3','MEDIDAS','35 x 45 cm','10','0');</v>
      </c>
    </row>
    <row r="833">
      <c r="A833" s="2">
        <v>4112.0</v>
      </c>
      <c r="B833" s="2">
        <v>541.0</v>
      </c>
      <c r="C833" s="2">
        <v>15.0</v>
      </c>
      <c r="D833" s="2" t="s">
        <v>1272</v>
      </c>
      <c r="E833" s="2" t="s">
        <v>2606</v>
      </c>
      <c r="H833" s="2">
        <v>1.0</v>
      </c>
      <c r="I833" s="2">
        <v>0.0</v>
      </c>
      <c r="K833" s="8" t="str">
        <f t="shared" si="1"/>
        <v>CALL InsertOrUpdateAtributosProductos ('4112','541','15','DENSIDAD','Alta','1','0');</v>
      </c>
    </row>
    <row r="834">
      <c r="A834" s="2">
        <v>4113.0</v>
      </c>
      <c r="B834" s="2">
        <v>541.0</v>
      </c>
      <c r="C834" s="2">
        <v>15.0</v>
      </c>
      <c r="D834" s="2" t="s">
        <v>1272</v>
      </c>
      <c r="E834" s="2" t="s">
        <v>2607</v>
      </c>
      <c r="H834" s="2">
        <v>2.0</v>
      </c>
      <c r="I834" s="2">
        <v>0.0</v>
      </c>
      <c r="K834" s="8" t="str">
        <f t="shared" si="1"/>
        <v>CALL InsertOrUpdateAtributosProductos ('4113','541','15','DENSIDAD','Baja','2','0');</v>
      </c>
    </row>
    <row r="835">
      <c r="A835" s="2">
        <v>4114.0</v>
      </c>
      <c r="B835" s="2">
        <v>541.0</v>
      </c>
      <c r="C835" s="2">
        <v>3.0</v>
      </c>
      <c r="D835" s="2" t="s">
        <v>263</v>
      </c>
      <c r="E835" s="2" t="s">
        <v>2597</v>
      </c>
      <c r="H835" s="2">
        <v>1.0</v>
      </c>
      <c r="I835" s="2">
        <v>0.0</v>
      </c>
      <c r="K835" s="8" t="str">
        <f t="shared" si="1"/>
        <v>CALL InsertOrUpdateAtributosProductos ('4114','541','3','MEDIDAS','15 x 20 cm','1','0');</v>
      </c>
    </row>
    <row r="836">
      <c r="A836" s="2">
        <v>4115.0</v>
      </c>
      <c r="B836" s="2">
        <v>541.0</v>
      </c>
      <c r="C836" s="2">
        <v>3.0</v>
      </c>
      <c r="D836" s="2" t="s">
        <v>263</v>
      </c>
      <c r="E836" s="2" t="s">
        <v>2608</v>
      </c>
      <c r="H836" s="2">
        <v>2.0</v>
      </c>
      <c r="I836" s="2">
        <v>0.0</v>
      </c>
      <c r="K836" s="8" t="str">
        <f t="shared" si="1"/>
        <v>CALL InsertOrUpdateAtributosProductos ('4115','541','3','MEDIDAS','15 x 25 cm','2','0');</v>
      </c>
    </row>
    <row r="837">
      <c r="A837" s="2">
        <v>4116.0</v>
      </c>
      <c r="B837" s="2">
        <v>541.0</v>
      </c>
      <c r="C837" s="2">
        <v>3.0</v>
      </c>
      <c r="D837" s="2" t="s">
        <v>263</v>
      </c>
      <c r="E837" s="2" t="s">
        <v>2598</v>
      </c>
      <c r="H837" s="2">
        <v>3.0</v>
      </c>
      <c r="I837" s="2">
        <v>0.0</v>
      </c>
      <c r="K837" s="8" t="str">
        <f t="shared" si="1"/>
        <v>CALL InsertOrUpdateAtributosProductos ('4116','541','3','MEDIDAS','20 x 30 cm','3','0');</v>
      </c>
    </row>
    <row r="838">
      <c r="A838" s="2">
        <v>4117.0</v>
      </c>
      <c r="B838" s="2">
        <v>541.0</v>
      </c>
      <c r="C838" s="2">
        <v>3.0</v>
      </c>
      <c r="D838" s="2" t="s">
        <v>263</v>
      </c>
      <c r="E838" s="2" t="s">
        <v>2491</v>
      </c>
      <c r="H838" s="2">
        <v>4.0</v>
      </c>
      <c r="I838" s="2">
        <v>0.0</v>
      </c>
      <c r="K838" s="8" t="str">
        <f t="shared" si="1"/>
        <v>CALL InsertOrUpdateAtributosProductos ('4117','541','3','MEDIDAS','25 x 35 cm','4','0');</v>
      </c>
    </row>
    <row r="839">
      <c r="A839" s="2">
        <v>4118.0</v>
      </c>
      <c r="B839" s="2">
        <v>541.0</v>
      </c>
      <c r="C839" s="2">
        <v>3.0</v>
      </c>
      <c r="D839" s="2" t="s">
        <v>263</v>
      </c>
      <c r="E839" s="2" t="s">
        <v>2577</v>
      </c>
      <c r="H839" s="2">
        <v>5.0</v>
      </c>
      <c r="I839" s="2">
        <v>0.0</v>
      </c>
      <c r="K839" s="8" t="str">
        <f t="shared" si="1"/>
        <v>CALL InsertOrUpdateAtributosProductos ('4118','541','3','MEDIDAS','30 x 40 cm','5','0');</v>
      </c>
    </row>
    <row r="840">
      <c r="A840" s="2">
        <v>4119.0</v>
      </c>
      <c r="B840" s="2">
        <v>541.0</v>
      </c>
      <c r="C840" s="2">
        <v>3.0</v>
      </c>
      <c r="D840" s="2" t="s">
        <v>263</v>
      </c>
      <c r="E840" s="2" t="s">
        <v>2599</v>
      </c>
      <c r="H840" s="2">
        <v>6.0</v>
      </c>
      <c r="I840" s="2">
        <v>0.0</v>
      </c>
      <c r="K840" s="8" t="str">
        <f t="shared" si="1"/>
        <v>CALL InsertOrUpdateAtributosProductos ('4119','541','3','MEDIDAS','35 x 45 cm','6','0');</v>
      </c>
    </row>
    <row r="841">
      <c r="A841" s="2">
        <v>4120.0</v>
      </c>
      <c r="B841" s="2">
        <v>541.0</v>
      </c>
      <c r="C841" s="2">
        <v>3.0</v>
      </c>
      <c r="D841" s="2" t="s">
        <v>263</v>
      </c>
      <c r="E841" s="2" t="s">
        <v>2147</v>
      </c>
      <c r="H841" s="2">
        <v>7.0</v>
      </c>
      <c r="I841" s="2">
        <v>0.0</v>
      </c>
      <c r="K841" s="8" t="str">
        <f t="shared" si="1"/>
        <v>CALL InsertOrUpdateAtributosProductos ('4120','541','3','MEDIDAS','40 x 50 cm','7','0');</v>
      </c>
    </row>
    <row r="842">
      <c r="A842" s="2">
        <v>4121.0</v>
      </c>
      <c r="B842" s="2">
        <v>541.0</v>
      </c>
      <c r="C842" s="2">
        <v>3.0</v>
      </c>
      <c r="D842" s="2" t="s">
        <v>263</v>
      </c>
      <c r="E842" s="2" t="s">
        <v>2609</v>
      </c>
      <c r="H842" s="2">
        <v>8.0</v>
      </c>
      <c r="I842" s="2">
        <v>0.0</v>
      </c>
      <c r="K842" s="8" t="str">
        <f t="shared" si="1"/>
        <v>CALL InsertOrUpdateAtributosProductos ('4121','541','3','MEDIDAS','40 x 60 cm','8','0');</v>
      </c>
    </row>
    <row r="843">
      <c r="A843" s="2">
        <v>4122.0</v>
      </c>
      <c r="B843" s="2">
        <v>541.0</v>
      </c>
      <c r="C843" s="2">
        <v>3.0</v>
      </c>
      <c r="D843" s="2" t="s">
        <v>263</v>
      </c>
      <c r="E843" s="2" t="s">
        <v>2579</v>
      </c>
      <c r="H843" s="2">
        <v>9.0</v>
      </c>
      <c r="I843" s="2">
        <v>0.0</v>
      </c>
      <c r="K843" s="8" t="str">
        <f t="shared" si="1"/>
        <v>CALL InsertOrUpdateAtributosProductos ('4122','541','3','MEDIDAS','50 x 70 cm','9','0');</v>
      </c>
    </row>
    <row r="844">
      <c r="A844" s="2">
        <v>4123.0</v>
      </c>
      <c r="B844" s="2">
        <v>541.0</v>
      </c>
      <c r="C844" s="2">
        <v>3.0</v>
      </c>
      <c r="D844" s="2" t="s">
        <v>263</v>
      </c>
      <c r="E844" s="2" t="s">
        <v>2594</v>
      </c>
      <c r="H844" s="2">
        <v>10.0</v>
      </c>
      <c r="I844" s="2">
        <v>0.0</v>
      </c>
      <c r="K844" s="8" t="str">
        <f t="shared" si="1"/>
        <v>CALL InsertOrUpdateAtributosProductos ('4123','541','3','MEDIDAS','60 x 90 cm','10','0');</v>
      </c>
    </row>
    <row r="845">
      <c r="A845" s="2">
        <v>4124.0</v>
      </c>
      <c r="B845" s="2">
        <v>542.0</v>
      </c>
      <c r="C845" s="2">
        <v>3.0</v>
      </c>
      <c r="D845" s="2" t="s">
        <v>263</v>
      </c>
      <c r="E845" s="2" t="s">
        <v>2610</v>
      </c>
      <c r="H845" s="2">
        <v>1.0</v>
      </c>
      <c r="I845" s="2">
        <v>0.0</v>
      </c>
      <c r="K845" s="8" t="str">
        <f t="shared" si="1"/>
        <v>CALL InsertOrUpdateAtributosProductos ('4124','542','3','MEDIDAS','12 x 13 cm CD','1','0');</v>
      </c>
    </row>
    <row r="846">
      <c r="A846" s="2">
        <v>4125.0</v>
      </c>
      <c r="B846" s="2">
        <v>542.0</v>
      </c>
      <c r="C846" s="2">
        <v>3.0</v>
      </c>
      <c r="D846" s="2" t="s">
        <v>263</v>
      </c>
      <c r="E846" s="2" t="s">
        <v>2611</v>
      </c>
      <c r="H846" s="2">
        <v>2.0</v>
      </c>
      <c r="I846" s="2">
        <v>0.0</v>
      </c>
      <c r="K846" s="8" t="str">
        <f t="shared" si="1"/>
        <v>CALL InsertOrUpdateAtributosProductos ('4125','542','3','MEDIDAS','15x 20 cm','2','0');</v>
      </c>
    </row>
    <row r="847">
      <c r="A847" s="2">
        <v>4126.0</v>
      </c>
      <c r="B847" s="2">
        <v>542.0</v>
      </c>
      <c r="C847" s="2">
        <v>3.0</v>
      </c>
      <c r="D847" s="2" t="s">
        <v>263</v>
      </c>
      <c r="E847" s="2" t="s">
        <v>2598</v>
      </c>
      <c r="H847" s="2">
        <v>3.0</v>
      </c>
      <c r="I847" s="2">
        <v>0.0</v>
      </c>
      <c r="K847" s="8" t="str">
        <f t="shared" si="1"/>
        <v>CALL InsertOrUpdateAtributosProductos ('4126','542','3','MEDIDAS','20 x 30 cm','3','0');</v>
      </c>
    </row>
    <row r="848">
      <c r="A848" s="2">
        <v>4127.0</v>
      </c>
      <c r="B848" s="2">
        <v>542.0</v>
      </c>
      <c r="C848" s="2">
        <v>3.0</v>
      </c>
      <c r="D848" s="2" t="s">
        <v>263</v>
      </c>
      <c r="E848" s="2" t="s">
        <v>2491</v>
      </c>
      <c r="H848" s="2">
        <v>4.0</v>
      </c>
      <c r="I848" s="2">
        <v>0.0</v>
      </c>
      <c r="K848" s="8" t="str">
        <f t="shared" si="1"/>
        <v>CALL InsertOrUpdateAtributosProductos ('4127','542','3','MEDIDAS','25 x 35 cm','4','0');</v>
      </c>
    </row>
    <row r="849">
      <c r="A849" s="2">
        <v>4128.0</v>
      </c>
      <c r="B849" s="2">
        <v>542.0</v>
      </c>
      <c r="C849" s="2">
        <v>3.0</v>
      </c>
      <c r="D849" s="2" t="s">
        <v>263</v>
      </c>
      <c r="E849" s="2" t="s">
        <v>2577</v>
      </c>
      <c r="H849" s="2">
        <v>5.0</v>
      </c>
      <c r="I849" s="2">
        <v>0.0</v>
      </c>
      <c r="K849" s="8" t="str">
        <f t="shared" si="1"/>
        <v>CALL InsertOrUpdateAtributosProductos ('4128','542','3','MEDIDAS','30 x 40 cm','5','0');</v>
      </c>
    </row>
    <row r="850">
      <c r="A850" s="2">
        <v>4129.0</v>
      </c>
      <c r="B850" s="2">
        <v>542.0</v>
      </c>
      <c r="C850" s="2">
        <v>3.0</v>
      </c>
      <c r="D850" s="2" t="s">
        <v>263</v>
      </c>
      <c r="E850" s="2" t="s">
        <v>2599</v>
      </c>
      <c r="H850" s="2">
        <v>6.0</v>
      </c>
      <c r="I850" s="2">
        <v>0.0</v>
      </c>
      <c r="K850" s="8" t="str">
        <f t="shared" si="1"/>
        <v>CALL InsertOrUpdateAtributosProductos ('4129','542','3','MEDIDAS','35 x 45 cm','6','0');</v>
      </c>
    </row>
    <row r="851">
      <c r="A851" s="2">
        <v>4130.0</v>
      </c>
      <c r="B851" s="2">
        <v>543.0</v>
      </c>
      <c r="C851" s="2">
        <v>2.0</v>
      </c>
      <c r="D851" s="2" t="s">
        <v>259</v>
      </c>
      <c r="E851" s="2" t="s">
        <v>2612</v>
      </c>
      <c r="H851" s="2">
        <v>6.0</v>
      </c>
      <c r="I851" s="2">
        <v>0.0</v>
      </c>
      <c r="K851" s="8" t="str">
        <f t="shared" si="1"/>
        <v>CALL InsertOrUpdateAtributosProductos ('4130','543','2','TIPO','A4 75 gramos','6','0');</v>
      </c>
    </row>
    <row r="852">
      <c r="A852" s="2">
        <v>4131.0</v>
      </c>
      <c r="B852" s="2">
        <v>543.0</v>
      </c>
      <c r="C852" s="2">
        <v>2.0</v>
      </c>
      <c r="D852" s="2" t="s">
        <v>259</v>
      </c>
      <c r="E852" s="2" t="s">
        <v>2613</v>
      </c>
      <c r="H852" s="2">
        <v>6.0</v>
      </c>
      <c r="I852" s="2">
        <v>0.0</v>
      </c>
      <c r="K852" s="8" t="str">
        <f t="shared" si="1"/>
        <v>CALL InsertOrUpdateAtributosProductos ('4131','543','2','TIPO','Oficio 75 gramos','6','0');</v>
      </c>
    </row>
    <row r="853">
      <c r="A853" s="2">
        <v>4132.0</v>
      </c>
      <c r="B853" s="2">
        <v>544.0</v>
      </c>
      <c r="C853" s="2">
        <v>4.0</v>
      </c>
      <c r="D853" s="2" t="s">
        <v>315</v>
      </c>
      <c r="E853" s="2" t="s">
        <v>2614</v>
      </c>
      <c r="H853" s="2">
        <v>1.0</v>
      </c>
      <c r="I853" s="2">
        <v>0.0</v>
      </c>
      <c r="K853" s="8" t="str">
        <f t="shared" si="1"/>
        <v>CALL InsertOrUpdateAtributosProductos ('4132','544','4','TALLE','S','1','0');</v>
      </c>
    </row>
    <row r="854">
      <c r="A854" s="2">
        <v>4133.0</v>
      </c>
      <c r="B854" s="2">
        <v>544.0</v>
      </c>
      <c r="C854" s="2">
        <v>4.0</v>
      </c>
      <c r="D854" s="2" t="s">
        <v>315</v>
      </c>
      <c r="E854" s="2" t="s">
        <v>2615</v>
      </c>
      <c r="H854" s="2">
        <v>2.0</v>
      </c>
      <c r="I854" s="2">
        <v>0.0</v>
      </c>
      <c r="K854" s="8" t="str">
        <f t="shared" si="1"/>
        <v>CALL InsertOrUpdateAtributosProductos ('4133','544','4','TALLE','M','2','0');</v>
      </c>
    </row>
    <row r="855">
      <c r="A855" s="2">
        <v>4134.0</v>
      </c>
      <c r="B855" s="2">
        <v>544.0</v>
      </c>
      <c r="C855" s="2">
        <v>4.0</v>
      </c>
      <c r="D855" s="2" t="s">
        <v>315</v>
      </c>
      <c r="E855" s="2" t="s">
        <v>2616</v>
      </c>
      <c r="H855" s="2">
        <v>3.0</v>
      </c>
      <c r="I855" s="2">
        <v>0.0</v>
      </c>
      <c r="K855" s="8" t="str">
        <f t="shared" si="1"/>
        <v>CALL InsertOrUpdateAtributosProductos ('4134','544','4','TALLE','L','3','0');</v>
      </c>
    </row>
    <row r="856">
      <c r="A856" s="2">
        <v>4135.0</v>
      </c>
      <c r="B856" s="2">
        <v>544.0</v>
      </c>
      <c r="C856" s="2">
        <v>4.0</v>
      </c>
      <c r="D856" s="2" t="s">
        <v>315</v>
      </c>
      <c r="E856" s="2" t="s">
        <v>2617</v>
      </c>
      <c r="H856" s="2">
        <v>4.0</v>
      </c>
      <c r="I856" s="2">
        <v>0.0</v>
      </c>
      <c r="K856" s="8" t="str">
        <f t="shared" si="1"/>
        <v>CALL InsertOrUpdateAtributosProductos ('4135','544','4','TALLE','xL','4','0');</v>
      </c>
    </row>
    <row r="857">
      <c r="A857" s="2">
        <v>4136.0</v>
      </c>
      <c r="B857" s="2">
        <v>545.0</v>
      </c>
      <c r="C857" s="2">
        <v>4.0</v>
      </c>
      <c r="D857" s="2" t="s">
        <v>315</v>
      </c>
      <c r="E857" s="2" t="s">
        <v>2614</v>
      </c>
      <c r="H857" s="2">
        <v>1.0</v>
      </c>
      <c r="I857" s="2">
        <v>0.0</v>
      </c>
      <c r="K857" s="8" t="str">
        <f t="shared" si="1"/>
        <v>CALL InsertOrUpdateAtributosProductos ('4136','545','4','TALLE','S','1','0');</v>
      </c>
    </row>
    <row r="858">
      <c r="A858" s="2">
        <v>4137.0</v>
      </c>
      <c r="B858" s="2">
        <v>545.0</v>
      </c>
      <c r="C858" s="2">
        <v>4.0</v>
      </c>
      <c r="D858" s="2" t="s">
        <v>315</v>
      </c>
      <c r="E858" s="2" t="s">
        <v>2615</v>
      </c>
      <c r="H858" s="2">
        <v>2.0</v>
      </c>
      <c r="I858" s="2">
        <v>0.0</v>
      </c>
      <c r="K858" s="8" t="str">
        <f t="shared" si="1"/>
        <v>CALL InsertOrUpdateAtributosProductos ('4137','545','4','TALLE','M','2','0');</v>
      </c>
    </row>
    <row r="859">
      <c r="A859" s="2">
        <v>4138.0</v>
      </c>
      <c r="B859" s="2">
        <v>545.0</v>
      </c>
      <c r="C859" s="2">
        <v>4.0</v>
      </c>
      <c r="D859" s="2" t="s">
        <v>315</v>
      </c>
      <c r="E859" s="2" t="s">
        <v>2616</v>
      </c>
      <c r="H859" s="2">
        <v>3.0</v>
      </c>
      <c r="I859" s="2">
        <v>0.0</v>
      </c>
      <c r="K859" s="8" t="str">
        <f t="shared" si="1"/>
        <v>CALL InsertOrUpdateAtributosProductos ('4138','545','4','TALLE','L','3','0');</v>
      </c>
    </row>
    <row r="860">
      <c r="A860" s="2">
        <v>4139.0</v>
      </c>
      <c r="B860" s="2">
        <v>545.0</v>
      </c>
      <c r="C860" s="2">
        <v>4.0</v>
      </c>
      <c r="D860" s="2" t="s">
        <v>315</v>
      </c>
      <c r="E860" s="2" t="s">
        <v>2617</v>
      </c>
      <c r="H860" s="2">
        <v>4.0</v>
      </c>
      <c r="I860" s="2">
        <v>0.0</v>
      </c>
      <c r="K860" s="8" t="str">
        <f t="shared" si="1"/>
        <v>CALL InsertOrUpdateAtributosProductos ('4139','545','4','TALLE','xL','4','0');</v>
      </c>
    </row>
    <row r="861">
      <c r="A861" s="2">
        <v>4140.0</v>
      </c>
      <c r="B861" s="2">
        <v>547.0</v>
      </c>
      <c r="C861" s="2">
        <v>4.0</v>
      </c>
      <c r="D861" s="2" t="s">
        <v>315</v>
      </c>
      <c r="E861" s="2" t="s">
        <v>2614</v>
      </c>
      <c r="H861" s="2">
        <v>1.0</v>
      </c>
      <c r="I861" s="2">
        <v>0.0</v>
      </c>
      <c r="K861" s="8" t="str">
        <f t="shared" si="1"/>
        <v>CALL InsertOrUpdateAtributosProductos ('4140','547','4','TALLE','S','1','0');</v>
      </c>
    </row>
    <row r="862">
      <c r="A862" s="2">
        <v>4141.0</v>
      </c>
      <c r="B862" s="2">
        <v>547.0</v>
      </c>
      <c r="C862" s="2">
        <v>4.0</v>
      </c>
      <c r="D862" s="2" t="s">
        <v>315</v>
      </c>
      <c r="E862" s="2" t="s">
        <v>2615</v>
      </c>
      <c r="H862" s="2">
        <v>2.0</v>
      </c>
      <c r="I862" s="2">
        <v>0.0</v>
      </c>
      <c r="K862" s="8" t="str">
        <f t="shared" si="1"/>
        <v>CALL InsertOrUpdateAtributosProductos ('4141','547','4','TALLE','M','2','0');</v>
      </c>
    </row>
    <row r="863">
      <c r="A863" s="2">
        <v>4142.0</v>
      </c>
      <c r="B863" s="2">
        <v>547.0</v>
      </c>
      <c r="C863" s="2">
        <v>4.0</v>
      </c>
      <c r="D863" s="2" t="s">
        <v>315</v>
      </c>
      <c r="E863" s="2" t="s">
        <v>2616</v>
      </c>
      <c r="H863" s="2">
        <v>3.0</v>
      </c>
      <c r="I863" s="2">
        <v>0.0</v>
      </c>
      <c r="K863" s="8" t="str">
        <f t="shared" si="1"/>
        <v>CALL InsertOrUpdateAtributosProductos ('4142','547','4','TALLE','L','3','0');</v>
      </c>
    </row>
    <row r="864">
      <c r="A864" s="2">
        <v>4143.0</v>
      </c>
      <c r="B864" s="2">
        <v>547.0</v>
      </c>
      <c r="C864" s="2">
        <v>4.0</v>
      </c>
      <c r="D864" s="2" t="s">
        <v>315</v>
      </c>
      <c r="E864" s="2" t="s">
        <v>2617</v>
      </c>
      <c r="H864" s="2">
        <v>4.0</v>
      </c>
      <c r="I864" s="2">
        <v>0.0</v>
      </c>
      <c r="K864" s="8" t="str">
        <f t="shared" si="1"/>
        <v>CALL InsertOrUpdateAtributosProductos ('4143','547','4','TALLE','xL','4','0');</v>
      </c>
    </row>
    <row r="865">
      <c r="A865" s="2">
        <v>4144.0</v>
      </c>
      <c r="B865" s="2">
        <v>548.0</v>
      </c>
      <c r="C865" s="2">
        <v>8.0</v>
      </c>
      <c r="D865" s="2" t="s">
        <v>581</v>
      </c>
      <c r="E865" s="2" t="s">
        <v>2223</v>
      </c>
      <c r="H865" s="2">
        <v>1.0</v>
      </c>
      <c r="I865" s="2">
        <v>0.0</v>
      </c>
      <c r="K865" s="8" t="str">
        <f t="shared" si="1"/>
        <v>CALL InsertOrUpdateAtributosProductos ('4144','548','8','COLOR','Blanco','1','0');</v>
      </c>
    </row>
    <row r="866">
      <c r="A866" s="2">
        <v>4145.0</v>
      </c>
      <c r="B866" s="2">
        <v>548.0</v>
      </c>
      <c r="C866" s="2">
        <v>8.0</v>
      </c>
      <c r="D866" s="2" t="s">
        <v>581</v>
      </c>
      <c r="E866" s="2" t="s">
        <v>2618</v>
      </c>
      <c r="H866" s="2">
        <v>2.0</v>
      </c>
      <c r="I866" s="2">
        <v>0.0</v>
      </c>
      <c r="K866" s="8" t="str">
        <f t="shared" si="1"/>
        <v>CALL InsertOrUpdateAtributosProductos ('4145','548','8','COLOR','Celeste','2','0');</v>
      </c>
    </row>
    <row r="867">
      <c r="A867" s="2">
        <v>4146.0</v>
      </c>
      <c r="B867" s="2">
        <v>548.0</v>
      </c>
      <c r="C867" s="2">
        <v>8.0</v>
      </c>
      <c r="D867" s="2" t="s">
        <v>581</v>
      </c>
      <c r="E867" s="2" t="s">
        <v>2221</v>
      </c>
      <c r="H867" s="2">
        <v>3.0</v>
      </c>
      <c r="I867" s="2">
        <v>0.0</v>
      </c>
      <c r="K867" s="8" t="str">
        <f t="shared" si="1"/>
        <v>CALL InsertOrUpdateAtributosProductos ('4146','548','8','COLOR','Negro','3','0');</v>
      </c>
    </row>
    <row r="868">
      <c r="A868" s="2">
        <v>4147.0</v>
      </c>
      <c r="B868" s="2">
        <v>561.0</v>
      </c>
      <c r="C868" s="2">
        <v>16.0</v>
      </c>
      <c r="D868" s="2" t="s">
        <v>1331</v>
      </c>
      <c r="E868" s="2" t="s">
        <v>2619</v>
      </c>
      <c r="H868" s="2">
        <v>1.0</v>
      </c>
      <c r="I868" s="2">
        <v>0.0</v>
      </c>
      <c r="K868" s="8" t="str">
        <f t="shared" si="1"/>
        <v>CALL InsertOrUpdateAtributosProductos ('4147','561','16','FORMATO','Lata 220 cc Pack 8','1','0');</v>
      </c>
    </row>
    <row r="869">
      <c r="A869" s="2">
        <v>4148.0</v>
      </c>
      <c r="B869" s="2">
        <v>561.0</v>
      </c>
      <c r="C869" s="2">
        <v>16.0</v>
      </c>
      <c r="D869" s="2" t="s">
        <v>1331</v>
      </c>
      <c r="E869" s="2" t="s">
        <v>2620</v>
      </c>
      <c r="H869" s="2">
        <v>2.0</v>
      </c>
      <c r="I869" s="2">
        <v>0.0</v>
      </c>
      <c r="K869" s="8" t="str">
        <f t="shared" si="1"/>
        <v>CALL InsertOrUpdateAtributosProductos ('4148','561','16','FORMATO','Lata 354 cc Pack 6','2','0');</v>
      </c>
    </row>
    <row r="870">
      <c r="A870" s="2">
        <v>4149.0</v>
      </c>
      <c r="B870" s="2">
        <v>562.0</v>
      </c>
      <c r="C870" s="2">
        <v>16.0</v>
      </c>
      <c r="D870" s="2" t="s">
        <v>1331</v>
      </c>
      <c r="E870" s="2" t="s">
        <v>2621</v>
      </c>
      <c r="H870" s="2">
        <v>1.0</v>
      </c>
      <c r="I870" s="2">
        <v>0.0</v>
      </c>
      <c r="K870" s="8" t="str">
        <f t="shared" si="1"/>
        <v>CALL InsertOrUpdateAtributosProductos ('4149','562','16','FORMATO','Botella 500 ml Pack 12','1','0');</v>
      </c>
    </row>
    <row r="871">
      <c r="A871" s="2">
        <v>4150.0</v>
      </c>
      <c r="B871" s="2">
        <v>562.0</v>
      </c>
      <c r="C871" s="2">
        <v>16.0</v>
      </c>
      <c r="D871" s="2" t="s">
        <v>1331</v>
      </c>
      <c r="E871" s="2" t="s">
        <v>2622</v>
      </c>
      <c r="H871" s="2">
        <v>2.0</v>
      </c>
      <c r="I871" s="2">
        <v>0.0</v>
      </c>
      <c r="K871" s="8" t="str">
        <f t="shared" si="1"/>
        <v>CALL InsertOrUpdateAtributosProductos ('4150','562','16','FORMATO','Botella 1,5 lts Pack 8','2','0');</v>
      </c>
    </row>
    <row r="872">
      <c r="A872" s="2">
        <v>4151.0</v>
      </c>
      <c r="B872" s="2">
        <v>562.0</v>
      </c>
      <c r="C872" s="2">
        <v>16.0</v>
      </c>
      <c r="D872" s="2" t="s">
        <v>1331</v>
      </c>
      <c r="E872" s="2" t="s">
        <v>2623</v>
      </c>
      <c r="H872" s="2">
        <v>3.0</v>
      </c>
      <c r="I872" s="2">
        <v>0.0</v>
      </c>
      <c r="K872" s="8" t="str">
        <f t="shared" si="1"/>
        <v>CALL InsertOrUpdateAtributosProductos ('4151','562','16','FORMATO','Botella 1,75 lts Pack 8','3','0');</v>
      </c>
    </row>
    <row r="873">
      <c r="A873" s="2">
        <v>4152.0</v>
      </c>
      <c r="B873" s="2">
        <v>562.0</v>
      </c>
      <c r="C873" s="2">
        <v>16.0</v>
      </c>
      <c r="D873" s="2" t="s">
        <v>1331</v>
      </c>
      <c r="E873" s="2" t="s">
        <v>2624</v>
      </c>
      <c r="H873" s="2">
        <v>4.0</v>
      </c>
      <c r="I873" s="2">
        <v>0.0</v>
      </c>
      <c r="K873" s="8" t="str">
        <f t="shared" si="1"/>
        <v>CALL InsertOrUpdateAtributosProductos ('4152','562','16','FORMATO','Botella 2,25 lts Pack 8','4','0');</v>
      </c>
    </row>
    <row r="874">
      <c r="A874" s="2">
        <v>4153.0</v>
      </c>
      <c r="B874" s="2">
        <v>562.0</v>
      </c>
      <c r="C874" s="2">
        <v>16.0</v>
      </c>
      <c r="D874" s="2" t="s">
        <v>1331</v>
      </c>
      <c r="E874" s="2" t="s">
        <v>2625</v>
      </c>
      <c r="H874" s="2">
        <v>5.0</v>
      </c>
      <c r="I874" s="2">
        <v>0.0</v>
      </c>
      <c r="K874" s="8" t="str">
        <f t="shared" si="1"/>
        <v>CALL InsertOrUpdateAtributosProductos ('4153','562','16','FORMATO','Botella 3 lts Pack 6','5','0');</v>
      </c>
    </row>
    <row r="875">
      <c r="A875" s="2">
        <v>4154.0</v>
      </c>
      <c r="B875" s="2">
        <v>563.0</v>
      </c>
      <c r="C875" s="2">
        <v>16.0</v>
      </c>
      <c r="D875" s="2" t="s">
        <v>1331</v>
      </c>
      <c r="E875" s="2" t="s">
        <v>2619</v>
      </c>
      <c r="H875" s="2">
        <v>1.0</v>
      </c>
      <c r="I875" s="2">
        <v>0.0</v>
      </c>
      <c r="K875" s="8" t="str">
        <f t="shared" si="1"/>
        <v>CALL InsertOrUpdateAtributosProductos ('4154','563','16','FORMATO','Lata 220 cc Pack 8','1','0');</v>
      </c>
    </row>
    <row r="876">
      <c r="A876" s="2">
        <v>4155.0</v>
      </c>
      <c r="B876" s="2">
        <v>563.0</v>
      </c>
      <c r="C876" s="2">
        <v>16.0</v>
      </c>
      <c r="D876" s="2" t="s">
        <v>1331</v>
      </c>
      <c r="E876" s="2" t="s">
        <v>2620</v>
      </c>
      <c r="H876" s="2">
        <v>2.0</v>
      </c>
      <c r="I876" s="2">
        <v>0.0</v>
      </c>
      <c r="K876" s="8" t="str">
        <f t="shared" si="1"/>
        <v>CALL InsertOrUpdateAtributosProductos ('4155','563','16','FORMATO','Lata 354 cc Pack 6','2','0');</v>
      </c>
    </row>
    <row r="877">
      <c r="A877" s="2">
        <v>4156.0</v>
      </c>
      <c r="B877" s="2">
        <v>563.0</v>
      </c>
      <c r="C877" s="2">
        <v>16.0</v>
      </c>
      <c r="D877" s="2" t="s">
        <v>1331</v>
      </c>
      <c r="E877" s="2" t="s">
        <v>2626</v>
      </c>
      <c r="H877" s="2">
        <v>3.0</v>
      </c>
      <c r="I877" s="2">
        <v>0.0</v>
      </c>
      <c r="K877" s="8" t="str">
        <f t="shared" si="1"/>
        <v>CALL InsertOrUpdateAtributosProductos ('4156','563','16','FORMATO','Lata 354 cc Pack 8','3','0');</v>
      </c>
    </row>
    <row r="878">
      <c r="A878" s="2">
        <v>4157.0</v>
      </c>
      <c r="B878" s="2">
        <v>564.0</v>
      </c>
      <c r="C878" s="2">
        <v>16.0</v>
      </c>
      <c r="D878" s="2" t="s">
        <v>1331</v>
      </c>
      <c r="E878" s="2" t="s">
        <v>2627</v>
      </c>
      <c r="H878" s="2">
        <v>1.0</v>
      </c>
      <c r="I878" s="2">
        <v>0.0</v>
      </c>
      <c r="K878" s="8" t="str">
        <f t="shared" si="1"/>
        <v>CALL InsertOrUpdateAtributosProductos ('4157','564','16','FORMATO','Botella 500 ml Pack 6','1','0');</v>
      </c>
    </row>
    <row r="879">
      <c r="A879" s="2">
        <v>4158.0</v>
      </c>
      <c r="B879" s="2">
        <v>564.0</v>
      </c>
      <c r="C879" s="2">
        <v>16.0</v>
      </c>
      <c r="D879" s="2" t="s">
        <v>1331</v>
      </c>
      <c r="E879" s="2" t="s">
        <v>2628</v>
      </c>
      <c r="H879" s="2">
        <v>2.0</v>
      </c>
      <c r="I879" s="2">
        <v>0.0</v>
      </c>
      <c r="K879" s="8" t="str">
        <f t="shared" si="1"/>
        <v>CALL InsertOrUpdateAtributosProductos ('4158','564','16','FORMATO','Botella 500 ml Pack 8','2','0');</v>
      </c>
    </row>
    <row r="880">
      <c r="A880" s="2">
        <v>4159.0</v>
      </c>
      <c r="B880" s="2">
        <v>564.0</v>
      </c>
      <c r="C880" s="2">
        <v>16.0</v>
      </c>
      <c r="D880" s="2" t="s">
        <v>1331</v>
      </c>
      <c r="E880" s="2" t="s">
        <v>2622</v>
      </c>
      <c r="H880" s="2">
        <v>3.0</v>
      </c>
      <c r="I880" s="2">
        <v>0.0</v>
      </c>
      <c r="K880" s="8" t="str">
        <f t="shared" si="1"/>
        <v>CALL InsertOrUpdateAtributosProductos ('4159','564','16','FORMATO','Botella 1,5 lts Pack 8','3','0');</v>
      </c>
    </row>
    <row r="881">
      <c r="A881" s="2">
        <v>4160.0</v>
      </c>
      <c r="B881" s="2">
        <v>564.0</v>
      </c>
      <c r="C881" s="2">
        <v>16.0</v>
      </c>
      <c r="D881" s="2" t="s">
        <v>1331</v>
      </c>
      <c r="E881" s="2" t="s">
        <v>2623</v>
      </c>
      <c r="H881" s="2">
        <v>4.0</v>
      </c>
      <c r="I881" s="2">
        <v>0.0</v>
      </c>
      <c r="K881" s="8" t="str">
        <f t="shared" si="1"/>
        <v>CALL InsertOrUpdateAtributosProductos ('4160','564','16','FORMATO','Botella 1,75 lts Pack 8','4','0');</v>
      </c>
    </row>
    <row r="882">
      <c r="A882" s="2">
        <v>4161.0</v>
      </c>
      <c r="B882" s="2">
        <v>564.0</v>
      </c>
      <c r="C882" s="2">
        <v>16.0</v>
      </c>
      <c r="D882" s="2" t="s">
        <v>1331</v>
      </c>
      <c r="E882" s="2" t="s">
        <v>2624</v>
      </c>
      <c r="H882" s="2">
        <v>5.0</v>
      </c>
      <c r="I882" s="2">
        <v>0.0</v>
      </c>
      <c r="K882" s="8" t="str">
        <f t="shared" si="1"/>
        <v>CALL InsertOrUpdateAtributosProductos ('4161','564','16','FORMATO','Botella 2,25 lts Pack 8','5','0');</v>
      </c>
    </row>
    <row r="883">
      <c r="A883" s="2">
        <v>4162.0</v>
      </c>
      <c r="B883" s="2">
        <v>565.0</v>
      </c>
      <c r="C883" s="2">
        <v>16.0</v>
      </c>
      <c r="D883" s="2" t="s">
        <v>1331</v>
      </c>
      <c r="E883" s="2" t="s">
        <v>2619</v>
      </c>
      <c r="H883" s="2">
        <v>1.0</v>
      </c>
      <c r="I883" s="2">
        <v>0.0</v>
      </c>
      <c r="K883" s="8" t="str">
        <f t="shared" si="1"/>
        <v>CALL InsertOrUpdateAtributosProductos ('4162','565','16','FORMATO','Lata 220 cc Pack 8','1','0');</v>
      </c>
    </row>
    <row r="884">
      <c r="A884" s="2">
        <v>4163.0</v>
      </c>
      <c r="B884" s="2">
        <v>565.0</v>
      </c>
      <c r="C884" s="2">
        <v>16.0</v>
      </c>
      <c r="D884" s="2" t="s">
        <v>1331</v>
      </c>
      <c r="E884" s="2" t="s">
        <v>2620</v>
      </c>
      <c r="H884" s="2">
        <v>2.0</v>
      </c>
      <c r="I884" s="2">
        <v>0.0</v>
      </c>
      <c r="K884" s="8" t="str">
        <f t="shared" si="1"/>
        <v>CALL InsertOrUpdateAtributosProductos ('4163','565','16','FORMATO','Lata 354 cc Pack 6','2','0');</v>
      </c>
    </row>
    <row r="885">
      <c r="A885" s="2">
        <v>4164.0</v>
      </c>
      <c r="B885" s="2">
        <v>565.0</v>
      </c>
      <c r="C885" s="2">
        <v>16.0</v>
      </c>
      <c r="D885" s="2" t="s">
        <v>1331</v>
      </c>
      <c r="E885" s="2" t="s">
        <v>2629</v>
      </c>
      <c r="H885" s="2">
        <v>3.0</v>
      </c>
      <c r="I885" s="2">
        <v>0.0</v>
      </c>
      <c r="K885" s="8" t="str">
        <f t="shared" si="1"/>
        <v>CALL InsertOrUpdateAtributosProductos ('4164','565','16','FORMATO','Lata 354 cc Pack 12','3','0');</v>
      </c>
    </row>
    <row r="886">
      <c r="A886" s="2">
        <v>4165.0</v>
      </c>
      <c r="B886" s="2">
        <v>566.0</v>
      </c>
      <c r="C886" s="2">
        <v>16.0</v>
      </c>
      <c r="D886" s="2" t="s">
        <v>1331</v>
      </c>
      <c r="E886" s="2" t="s">
        <v>2621</v>
      </c>
      <c r="H886" s="2">
        <v>1.0</v>
      </c>
      <c r="I886" s="2">
        <v>0.0</v>
      </c>
      <c r="K886" s="8" t="str">
        <f t="shared" si="1"/>
        <v>CALL InsertOrUpdateAtributosProductos ('4165','566','16','FORMATO','Botella 500 ml Pack 12','1','0');</v>
      </c>
    </row>
    <row r="887">
      <c r="A887" s="2">
        <v>4166.0</v>
      </c>
      <c r="B887" s="2">
        <v>566.0</v>
      </c>
      <c r="C887" s="2">
        <v>16.0</v>
      </c>
      <c r="D887" s="2" t="s">
        <v>1331</v>
      </c>
      <c r="E887" s="2" t="s">
        <v>2622</v>
      </c>
      <c r="H887" s="2">
        <v>2.0</v>
      </c>
      <c r="I887" s="2">
        <v>0.0</v>
      </c>
      <c r="K887" s="8" t="str">
        <f t="shared" si="1"/>
        <v>CALL InsertOrUpdateAtributosProductos ('4166','566','16','FORMATO','Botella 1,5 lts Pack 8','2','0');</v>
      </c>
    </row>
    <row r="888">
      <c r="A888" s="2">
        <v>4167.0</v>
      </c>
      <c r="B888" s="2">
        <v>566.0</v>
      </c>
      <c r="C888" s="2">
        <v>16.0</v>
      </c>
      <c r="D888" s="2" t="s">
        <v>1331</v>
      </c>
      <c r="E888" s="2" t="s">
        <v>2623</v>
      </c>
      <c r="H888" s="2">
        <v>3.0</v>
      </c>
      <c r="I888" s="2">
        <v>0.0</v>
      </c>
      <c r="K888" s="8" t="str">
        <f t="shared" si="1"/>
        <v>CALL InsertOrUpdateAtributosProductos ('4167','566','16','FORMATO','Botella 1,75 lts Pack 8','3','0');</v>
      </c>
    </row>
    <row r="889">
      <c r="A889" s="2">
        <v>4168.0</v>
      </c>
      <c r="B889" s="2">
        <v>566.0</v>
      </c>
      <c r="C889" s="2">
        <v>16.0</v>
      </c>
      <c r="D889" s="2" t="s">
        <v>1331</v>
      </c>
      <c r="E889" s="2" t="s">
        <v>2624</v>
      </c>
      <c r="H889" s="2">
        <v>4.0</v>
      </c>
      <c r="I889" s="2">
        <v>0.0</v>
      </c>
      <c r="K889" s="8" t="str">
        <f t="shared" si="1"/>
        <v>CALL InsertOrUpdateAtributosProductos ('4168','566','16','FORMATO','Botella 2,25 lts Pack 8','4','0');</v>
      </c>
    </row>
    <row r="890">
      <c r="A890" s="2">
        <v>4169.0</v>
      </c>
      <c r="B890" s="2">
        <v>566.0</v>
      </c>
      <c r="C890" s="2">
        <v>16.0</v>
      </c>
      <c r="D890" s="2" t="s">
        <v>1331</v>
      </c>
      <c r="E890" s="2" t="s">
        <v>2625</v>
      </c>
      <c r="H890" s="2">
        <v>5.0</v>
      </c>
      <c r="I890" s="2">
        <v>0.0</v>
      </c>
      <c r="K890" s="8" t="str">
        <f t="shared" si="1"/>
        <v>CALL InsertOrUpdateAtributosProductos ('4169','566','16','FORMATO','Botella 3 lts Pack 6','5','0');</v>
      </c>
    </row>
    <row r="891">
      <c r="A891" s="2">
        <v>4170.0</v>
      </c>
      <c r="B891" s="2">
        <v>567.0</v>
      </c>
      <c r="C891" s="2">
        <v>16.0</v>
      </c>
      <c r="D891" s="2" t="s">
        <v>1331</v>
      </c>
      <c r="E891" s="2" t="s">
        <v>2619</v>
      </c>
      <c r="H891" s="2">
        <v>1.0</v>
      </c>
      <c r="I891" s="2">
        <v>0.0</v>
      </c>
      <c r="K891" s="8" t="str">
        <f t="shared" si="1"/>
        <v>CALL InsertOrUpdateAtributosProductos ('4170','567','16','FORMATO','Lata 220 cc Pack 8','1','0');</v>
      </c>
    </row>
    <row r="892">
      <c r="A892" s="2">
        <v>4171.0</v>
      </c>
      <c r="B892" s="2">
        <v>567.0</v>
      </c>
      <c r="C892" s="2">
        <v>16.0</v>
      </c>
      <c r="D892" s="2" t="s">
        <v>1331</v>
      </c>
      <c r="E892" s="2" t="s">
        <v>2620</v>
      </c>
      <c r="H892" s="2">
        <v>2.0</v>
      </c>
      <c r="I892" s="2">
        <v>0.0</v>
      </c>
      <c r="K892" s="8" t="str">
        <f t="shared" si="1"/>
        <v>CALL InsertOrUpdateAtributosProductos ('4171','567','16','FORMATO','Lata 354 cc Pack 6','2','0');</v>
      </c>
    </row>
    <row r="893">
      <c r="A893" s="2">
        <v>4172.0</v>
      </c>
      <c r="B893" s="2">
        <v>567.0</v>
      </c>
      <c r="C893" s="2">
        <v>16.0</v>
      </c>
      <c r="D893" s="2" t="s">
        <v>1331</v>
      </c>
      <c r="E893" s="2" t="s">
        <v>2629</v>
      </c>
      <c r="H893" s="2">
        <v>3.0</v>
      </c>
      <c r="I893" s="2">
        <v>0.0</v>
      </c>
      <c r="K893" s="8" t="str">
        <f t="shared" si="1"/>
        <v>CALL InsertOrUpdateAtributosProductos ('4172','567','16','FORMATO','Lata 354 cc Pack 12','3','0');</v>
      </c>
    </row>
    <row r="894">
      <c r="A894" s="2">
        <v>4173.0</v>
      </c>
      <c r="B894" s="2">
        <v>568.0</v>
      </c>
      <c r="C894" s="2">
        <v>16.0</v>
      </c>
      <c r="D894" s="2" t="s">
        <v>1331</v>
      </c>
      <c r="E894" s="2" t="s">
        <v>2621</v>
      </c>
      <c r="H894" s="2">
        <v>1.0</v>
      </c>
      <c r="I894" s="2">
        <v>0.0</v>
      </c>
      <c r="K894" s="8" t="str">
        <f t="shared" si="1"/>
        <v>CALL InsertOrUpdateAtributosProductos ('4173','568','16','FORMATO','Botella 500 ml Pack 12','1','0');</v>
      </c>
    </row>
    <row r="895">
      <c r="A895" s="2">
        <v>4174.0</v>
      </c>
      <c r="B895" s="2">
        <v>568.0</v>
      </c>
      <c r="C895" s="2">
        <v>16.0</v>
      </c>
      <c r="D895" s="2" t="s">
        <v>1331</v>
      </c>
      <c r="E895" s="2" t="s">
        <v>2622</v>
      </c>
      <c r="H895" s="2">
        <v>2.0</v>
      </c>
      <c r="I895" s="2">
        <v>0.0</v>
      </c>
      <c r="K895" s="8" t="str">
        <f t="shared" si="1"/>
        <v>CALL InsertOrUpdateAtributosProductos ('4174','568','16','FORMATO','Botella 1,5 lts Pack 8','2','0');</v>
      </c>
    </row>
    <row r="896">
      <c r="A896" s="2">
        <v>4175.0</v>
      </c>
      <c r="B896" s="2">
        <v>568.0</v>
      </c>
      <c r="C896" s="2">
        <v>16.0</v>
      </c>
      <c r="D896" s="2" t="s">
        <v>1331</v>
      </c>
      <c r="E896" s="2" t="s">
        <v>2623</v>
      </c>
      <c r="H896" s="2">
        <v>3.0</v>
      </c>
      <c r="I896" s="2">
        <v>0.0</v>
      </c>
      <c r="K896" s="8" t="str">
        <f t="shared" si="1"/>
        <v>CALL InsertOrUpdateAtributosProductos ('4175','568','16','FORMATO','Botella 1,75 lts Pack 8','3','0');</v>
      </c>
    </row>
    <row r="897">
      <c r="A897" s="2">
        <v>4176.0</v>
      </c>
      <c r="B897" s="2">
        <v>568.0</v>
      </c>
      <c r="C897" s="2">
        <v>16.0</v>
      </c>
      <c r="D897" s="2" t="s">
        <v>1331</v>
      </c>
      <c r="E897" s="2" t="s">
        <v>2624</v>
      </c>
      <c r="H897" s="2">
        <v>4.0</v>
      </c>
      <c r="I897" s="2">
        <v>0.0</v>
      </c>
      <c r="K897" s="8" t="str">
        <f t="shared" si="1"/>
        <v>CALL InsertOrUpdateAtributosProductos ('4176','568','16','FORMATO','Botella 2,25 lts Pack 8','4','0');</v>
      </c>
    </row>
    <row r="898">
      <c r="A898" s="2">
        <v>4177.0</v>
      </c>
      <c r="B898" s="2">
        <v>568.0</v>
      </c>
      <c r="C898" s="2">
        <v>16.0</v>
      </c>
      <c r="D898" s="2" t="s">
        <v>1331</v>
      </c>
      <c r="E898" s="2" t="s">
        <v>2625</v>
      </c>
      <c r="H898" s="2">
        <v>5.0</v>
      </c>
      <c r="I898" s="2">
        <v>0.0</v>
      </c>
      <c r="K898" s="8" t="str">
        <f t="shared" si="1"/>
        <v>CALL InsertOrUpdateAtributosProductos ('4177','568','16','FORMATO','Botella 3 lts Pack 6','5','0');</v>
      </c>
    </row>
    <row r="899">
      <c r="A899" s="2">
        <v>4178.0</v>
      </c>
      <c r="B899" s="2">
        <v>569.0</v>
      </c>
      <c r="C899" s="2">
        <v>16.0</v>
      </c>
      <c r="D899" s="2" t="s">
        <v>1331</v>
      </c>
      <c r="E899" s="2" t="s">
        <v>2619</v>
      </c>
      <c r="H899" s="2">
        <v>1.0</v>
      </c>
      <c r="I899" s="2">
        <v>0.0</v>
      </c>
      <c r="K899" s="8" t="str">
        <f t="shared" si="1"/>
        <v>CALL InsertOrUpdateAtributosProductos ('4178','569','16','FORMATO','Lata 220 cc Pack 8','1','0');</v>
      </c>
    </row>
    <row r="900">
      <c r="A900" s="2">
        <v>4179.0</v>
      </c>
      <c r="B900" s="2">
        <v>569.0</v>
      </c>
      <c r="C900" s="2">
        <v>16.0</v>
      </c>
      <c r="D900" s="2" t="s">
        <v>1331</v>
      </c>
      <c r="E900" s="2" t="s">
        <v>2620</v>
      </c>
      <c r="H900" s="2">
        <v>2.0</v>
      </c>
      <c r="I900" s="2">
        <v>0.0</v>
      </c>
      <c r="K900" s="8" t="str">
        <f t="shared" si="1"/>
        <v>CALL InsertOrUpdateAtributosProductos ('4179','569','16','FORMATO','Lata 354 cc Pack 6','2','0');</v>
      </c>
    </row>
    <row r="901">
      <c r="A901" s="2">
        <v>4180.0</v>
      </c>
      <c r="B901" s="2">
        <v>570.0</v>
      </c>
      <c r="C901" s="2">
        <v>16.0</v>
      </c>
      <c r="D901" s="2" t="s">
        <v>1331</v>
      </c>
      <c r="E901" s="2" t="s">
        <v>2621</v>
      </c>
      <c r="H901" s="2">
        <v>1.0</v>
      </c>
      <c r="I901" s="2">
        <v>0.0</v>
      </c>
      <c r="K901" s="8" t="str">
        <f t="shared" si="1"/>
        <v>CALL InsertOrUpdateAtributosProductos ('4180','570','16','FORMATO','Botella 500 ml Pack 12','1','0');</v>
      </c>
    </row>
    <row r="902">
      <c r="A902" s="2">
        <v>4181.0</v>
      </c>
      <c r="B902" s="2">
        <v>570.0</v>
      </c>
      <c r="C902" s="2">
        <v>16.0</v>
      </c>
      <c r="D902" s="2" t="s">
        <v>1331</v>
      </c>
      <c r="E902" s="2" t="s">
        <v>2622</v>
      </c>
      <c r="H902" s="2">
        <v>2.0</v>
      </c>
      <c r="I902" s="2">
        <v>0.0</v>
      </c>
      <c r="K902" s="8" t="str">
        <f t="shared" si="1"/>
        <v>CALL InsertOrUpdateAtributosProductos ('4181','570','16','FORMATO','Botella 1,5 lts Pack 8','2','0');</v>
      </c>
    </row>
    <row r="903">
      <c r="A903" s="2">
        <v>4182.0</v>
      </c>
      <c r="B903" s="2">
        <v>570.0</v>
      </c>
      <c r="C903" s="2">
        <v>16.0</v>
      </c>
      <c r="D903" s="2" t="s">
        <v>1331</v>
      </c>
      <c r="E903" s="2" t="s">
        <v>2623</v>
      </c>
      <c r="H903" s="2">
        <v>3.0</v>
      </c>
      <c r="I903" s="2">
        <v>0.0</v>
      </c>
      <c r="K903" s="8" t="str">
        <f t="shared" si="1"/>
        <v>CALL InsertOrUpdateAtributosProductos ('4182','570','16','FORMATO','Botella 1,75 lts Pack 8','3','0');</v>
      </c>
    </row>
    <row r="904">
      <c r="A904" s="2">
        <v>4183.0</v>
      </c>
      <c r="B904" s="2">
        <v>570.0</v>
      </c>
      <c r="C904" s="2">
        <v>16.0</v>
      </c>
      <c r="D904" s="2" t="s">
        <v>1331</v>
      </c>
      <c r="E904" s="2" t="s">
        <v>2624</v>
      </c>
      <c r="H904" s="2">
        <v>4.0</v>
      </c>
      <c r="I904" s="2">
        <v>0.0</v>
      </c>
      <c r="K904" s="8" t="str">
        <f t="shared" si="1"/>
        <v>CALL InsertOrUpdateAtributosProductos ('4183','570','16','FORMATO','Botella 2,25 lts Pack 8','4','0');</v>
      </c>
    </row>
    <row r="905">
      <c r="A905" s="2">
        <v>4184.0</v>
      </c>
      <c r="B905" s="2">
        <v>570.0</v>
      </c>
      <c r="C905" s="2">
        <v>16.0</v>
      </c>
      <c r="D905" s="2" t="s">
        <v>1331</v>
      </c>
      <c r="E905" s="2" t="s">
        <v>2625</v>
      </c>
      <c r="H905" s="2">
        <v>5.0</v>
      </c>
      <c r="I905" s="2">
        <v>0.0</v>
      </c>
      <c r="K905" s="8" t="str">
        <f t="shared" si="1"/>
        <v>CALL InsertOrUpdateAtributosProductos ('4184','570','16','FORMATO','Botella 3 lts Pack 6','5','0');</v>
      </c>
    </row>
    <row r="906">
      <c r="A906" s="2">
        <v>4185.0</v>
      </c>
      <c r="B906" s="2">
        <v>571.0</v>
      </c>
      <c r="C906" s="2">
        <v>16.0</v>
      </c>
      <c r="D906" s="2" t="s">
        <v>1331</v>
      </c>
      <c r="E906" s="2" t="s">
        <v>2619</v>
      </c>
      <c r="H906" s="2">
        <v>1.0</v>
      </c>
      <c r="I906" s="2">
        <v>0.0</v>
      </c>
      <c r="K906" s="8" t="str">
        <f t="shared" si="1"/>
        <v>CALL InsertOrUpdateAtributosProductos ('4185','571','16','FORMATO','Lata 220 cc Pack 8','1','0');</v>
      </c>
    </row>
    <row r="907">
      <c r="A907" s="2">
        <v>4186.0</v>
      </c>
      <c r="B907" s="2">
        <v>571.0</v>
      </c>
      <c r="C907" s="2">
        <v>16.0</v>
      </c>
      <c r="D907" s="2" t="s">
        <v>1331</v>
      </c>
      <c r="E907" s="2" t="s">
        <v>2620</v>
      </c>
      <c r="H907" s="2">
        <v>1.0</v>
      </c>
      <c r="I907" s="2">
        <v>0.0</v>
      </c>
      <c r="K907" s="8" t="str">
        <f t="shared" si="1"/>
        <v>CALL InsertOrUpdateAtributosProductos ('4186','571','16','FORMATO','Lata 354 cc Pack 6','1','0');</v>
      </c>
    </row>
    <row r="908">
      <c r="A908" s="2">
        <v>4187.0</v>
      </c>
      <c r="B908" s="2">
        <v>571.0</v>
      </c>
      <c r="C908" s="2">
        <v>16.0</v>
      </c>
      <c r="D908" s="2" t="s">
        <v>1331</v>
      </c>
      <c r="E908" s="2" t="s">
        <v>2629</v>
      </c>
      <c r="H908" s="2">
        <v>1.0</v>
      </c>
      <c r="I908" s="2">
        <v>0.0</v>
      </c>
      <c r="K908" s="8" t="str">
        <f t="shared" si="1"/>
        <v>CALL InsertOrUpdateAtributosProductos ('4187','571','16','FORMATO','Lata 354 cc Pack 12','1','0');</v>
      </c>
    </row>
    <row r="909">
      <c r="A909" s="2">
        <v>4188.0</v>
      </c>
      <c r="B909" s="2">
        <v>572.0</v>
      </c>
      <c r="C909" s="2">
        <v>16.0</v>
      </c>
      <c r="D909" s="2" t="s">
        <v>1331</v>
      </c>
      <c r="E909" s="2" t="s">
        <v>2621</v>
      </c>
      <c r="H909" s="2">
        <v>1.0</v>
      </c>
      <c r="I909" s="2">
        <v>0.0</v>
      </c>
      <c r="K909" s="8" t="str">
        <f t="shared" si="1"/>
        <v>CALL InsertOrUpdateAtributosProductos ('4188','572','16','FORMATO','Botella 500 ml Pack 12','1','0');</v>
      </c>
    </row>
    <row r="910">
      <c r="A910" s="2">
        <v>4189.0</v>
      </c>
      <c r="B910" s="2">
        <v>572.0</v>
      </c>
      <c r="C910" s="2">
        <v>16.0</v>
      </c>
      <c r="D910" s="2" t="s">
        <v>1331</v>
      </c>
      <c r="E910" s="2" t="s">
        <v>2622</v>
      </c>
      <c r="H910" s="2">
        <v>2.0</v>
      </c>
      <c r="I910" s="2">
        <v>0.0</v>
      </c>
      <c r="K910" s="8" t="str">
        <f t="shared" si="1"/>
        <v>CALL InsertOrUpdateAtributosProductos ('4189','572','16','FORMATO','Botella 1,5 lts Pack 8','2','0');</v>
      </c>
    </row>
    <row r="911">
      <c r="A911" s="2">
        <v>4190.0</v>
      </c>
      <c r="B911" s="2">
        <v>572.0</v>
      </c>
      <c r="C911" s="2">
        <v>16.0</v>
      </c>
      <c r="D911" s="2" t="s">
        <v>1331</v>
      </c>
      <c r="E911" s="2" t="s">
        <v>2625</v>
      </c>
      <c r="H911" s="2">
        <v>5.0</v>
      </c>
      <c r="I911" s="2">
        <v>0.0</v>
      </c>
      <c r="K911" s="8" t="str">
        <f t="shared" si="1"/>
        <v>CALL InsertOrUpdateAtributosProductos ('4190','572','16','FORMATO','Botella 3 lts Pack 6','5','0');</v>
      </c>
    </row>
    <row r="912">
      <c r="A912" s="2">
        <v>4191.0</v>
      </c>
      <c r="B912" s="2">
        <v>572.0</v>
      </c>
      <c r="C912" s="2">
        <v>16.0</v>
      </c>
      <c r="D912" s="2" t="s">
        <v>1331</v>
      </c>
      <c r="E912" s="2" t="s">
        <v>2623</v>
      </c>
      <c r="H912" s="2">
        <v>3.0</v>
      </c>
      <c r="I912" s="2">
        <v>0.0</v>
      </c>
      <c r="K912" s="8" t="str">
        <f t="shared" si="1"/>
        <v>CALL InsertOrUpdateAtributosProductos ('4191','572','16','FORMATO','Botella 1,75 lts Pack 8','3','0');</v>
      </c>
    </row>
    <row r="913">
      <c r="A913" s="2">
        <v>4192.0</v>
      </c>
      <c r="B913" s="2">
        <v>572.0</v>
      </c>
      <c r="C913" s="2">
        <v>16.0</v>
      </c>
      <c r="D913" s="2" t="s">
        <v>1331</v>
      </c>
      <c r="E913" s="2" t="s">
        <v>2624</v>
      </c>
      <c r="H913" s="2">
        <v>4.0</v>
      </c>
      <c r="I913" s="2">
        <v>0.0</v>
      </c>
      <c r="K913" s="8" t="str">
        <f t="shared" si="1"/>
        <v>CALL InsertOrUpdateAtributosProductos ('4192','572','16','FORMATO','Botella 2,25 lts Pack 8','4','0');</v>
      </c>
    </row>
    <row r="914">
      <c r="A914" s="2">
        <v>4193.0</v>
      </c>
      <c r="B914" s="2">
        <v>573.0</v>
      </c>
      <c r="C914" s="2">
        <v>16.0</v>
      </c>
      <c r="D914" s="2" t="s">
        <v>1331</v>
      </c>
      <c r="E914" s="2" t="s">
        <v>2619</v>
      </c>
      <c r="H914" s="2">
        <v>1.0</v>
      </c>
      <c r="I914" s="2">
        <v>0.0</v>
      </c>
      <c r="K914" s="8" t="str">
        <f t="shared" si="1"/>
        <v>CALL InsertOrUpdateAtributosProductos ('4193','573','16','FORMATO','Lata 220 cc Pack 8','1','0');</v>
      </c>
    </row>
    <row r="915">
      <c r="A915" s="2">
        <v>4194.0</v>
      </c>
      <c r="B915" s="2">
        <v>573.0</v>
      </c>
      <c r="C915" s="2">
        <v>16.0</v>
      </c>
      <c r="D915" s="2" t="s">
        <v>1331</v>
      </c>
      <c r="E915" s="2" t="s">
        <v>2620</v>
      </c>
      <c r="H915" s="2">
        <v>2.0</v>
      </c>
      <c r="I915" s="2">
        <v>0.0</v>
      </c>
      <c r="K915" s="8" t="str">
        <f t="shared" si="1"/>
        <v>CALL InsertOrUpdateAtributosProductos ('4194','573','16','FORMATO','Lata 354 cc Pack 6','2','0');</v>
      </c>
    </row>
    <row r="916">
      <c r="A916" s="2">
        <v>4195.0</v>
      </c>
      <c r="B916" s="2">
        <v>573.0</v>
      </c>
      <c r="C916" s="2">
        <v>16.0</v>
      </c>
      <c r="D916" s="2" t="s">
        <v>1331</v>
      </c>
      <c r="E916" s="2" t="s">
        <v>2629</v>
      </c>
      <c r="H916" s="2">
        <v>3.0</v>
      </c>
      <c r="I916" s="2">
        <v>0.0</v>
      </c>
      <c r="K916" s="8" t="str">
        <f t="shared" si="1"/>
        <v>CALL InsertOrUpdateAtributosProductos ('4195','573','16','FORMATO','Lata 354 cc Pack 12','3','0');</v>
      </c>
    </row>
    <row r="917">
      <c r="A917" s="2">
        <v>4196.0</v>
      </c>
      <c r="B917" s="2">
        <v>574.0</v>
      </c>
      <c r="C917" s="2">
        <v>16.0</v>
      </c>
      <c r="D917" s="2" t="s">
        <v>1331</v>
      </c>
      <c r="E917" s="2" t="s">
        <v>2621</v>
      </c>
      <c r="H917" s="2">
        <v>1.0</v>
      </c>
      <c r="I917" s="2">
        <v>0.0</v>
      </c>
      <c r="K917" s="8" t="str">
        <f t="shared" si="1"/>
        <v>CALL InsertOrUpdateAtributosProductos ('4196','574','16','FORMATO','Botella 500 ml Pack 12','1','0');</v>
      </c>
    </row>
    <row r="918">
      <c r="A918" s="2">
        <v>4197.0</v>
      </c>
      <c r="B918" s="2">
        <v>574.0</v>
      </c>
      <c r="C918" s="2">
        <v>16.0</v>
      </c>
      <c r="D918" s="2" t="s">
        <v>1331</v>
      </c>
      <c r="E918" s="2" t="s">
        <v>2622</v>
      </c>
      <c r="H918" s="2">
        <v>2.0</v>
      </c>
      <c r="I918" s="2">
        <v>0.0</v>
      </c>
      <c r="K918" s="8" t="str">
        <f t="shared" si="1"/>
        <v>CALL InsertOrUpdateAtributosProductos ('4197','574','16','FORMATO','Botella 1,5 lts Pack 8','2','0');</v>
      </c>
    </row>
    <row r="919">
      <c r="A919" s="2">
        <v>4198.0</v>
      </c>
      <c r="B919" s="2">
        <v>574.0</v>
      </c>
      <c r="C919" s="2">
        <v>16.0</v>
      </c>
      <c r="D919" s="2" t="s">
        <v>1331</v>
      </c>
      <c r="E919" s="2" t="s">
        <v>2623</v>
      </c>
      <c r="H919" s="2">
        <v>3.0</v>
      </c>
      <c r="I919" s="2">
        <v>0.0</v>
      </c>
      <c r="K919" s="8" t="str">
        <f t="shared" si="1"/>
        <v>CALL InsertOrUpdateAtributosProductos ('4198','574','16','FORMATO','Botella 1,75 lts Pack 8','3','0');</v>
      </c>
    </row>
    <row r="920">
      <c r="A920" s="2">
        <v>4199.0</v>
      </c>
      <c r="B920" s="2">
        <v>574.0</v>
      </c>
      <c r="C920" s="2">
        <v>16.0</v>
      </c>
      <c r="D920" s="2" t="s">
        <v>1331</v>
      </c>
      <c r="E920" s="2" t="s">
        <v>2624</v>
      </c>
      <c r="H920" s="2">
        <v>4.0</v>
      </c>
      <c r="I920" s="2">
        <v>0.0</v>
      </c>
      <c r="K920" s="8" t="str">
        <f t="shared" si="1"/>
        <v>CALL InsertOrUpdateAtributosProductos ('4199','574','16','FORMATO','Botella 2,25 lts Pack 8','4','0');</v>
      </c>
    </row>
    <row r="921">
      <c r="A921" s="2">
        <v>4200.0</v>
      </c>
      <c r="B921" s="2">
        <v>574.0</v>
      </c>
      <c r="C921" s="2">
        <v>16.0</v>
      </c>
      <c r="D921" s="2" t="s">
        <v>1331</v>
      </c>
      <c r="E921" s="2" t="s">
        <v>2625</v>
      </c>
      <c r="H921" s="2">
        <v>5.0</v>
      </c>
      <c r="I921" s="2">
        <v>0.0</v>
      </c>
      <c r="K921" s="8" t="str">
        <f t="shared" si="1"/>
        <v>CALL InsertOrUpdateAtributosProductos ('4200','574','16','FORMATO','Botella 3 lts Pack 6','5','0');</v>
      </c>
    </row>
    <row r="922">
      <c r="A922" s="2">
        <v>4734.0</v>
      </c>
      <c r="B922" s="2">
        <v>575.0</v>
      </c>
      <c r="C922" s="2">
        <v>16.0</v>
      </c>
      <c r="D922" s="2" t="s">
        <v>1331</v>
      </c>
      <c r="E922" s="2" t="s">
        <v>2630</v>
      </c>
      <c r="H922" s="2">
        <v>5.0</v>
      </c>
      <c r="I922" s="2">
        <v>0.0</v>
      </c>
      <c r="K922" s="8" t="str">
        <f t="shared" si="1"/>
        <v>CALL InsertOrUpdateAtributosProductos ('4734','575','16','FORMATO','Lata 354 cc (Pack 6)','5','0');</v>
      </c>
    </row>
    <row r="923">
      <c r="A923" s="2">
        <v>4201.0</v>
      </c>
      <c r="B923" s="2">
        <v>576.0</v>
      </c>
      <c r="C923" s="2">
        <v>16.0</v>
      </c>
      <c r="D923" s="2" t="s">
        <v>1331</v>
      </c>
      <c r="E923" s="2" t="s">
        <v>2621</v>
      </c>
      <c r="H923" s="2">
        <v>1.0</v>
      </c>
      <c r="I923" s="2">
        <v>0.0</v>
      </c>
      <c r="K923" s="8" t="str">
        <f t="shared" si="1"/>
        <v>CALL InsertOrUpdateAtributosProductos ('4201','576','16','FORMATO','Botella 500 ml Pack 12','1','0');</v>
      </c>
    </row>
    <row r="924">
      <c r="A924" s="2">
        <v>4202.0</v>
      </c>
      <c r="B924" s="2">
        <v>576.0</v>
      </c>
      <c r="C924" s="2">
        <v>16.0</v>
      </c>
      <c r="D924" s="2" t="s">
        <v>1331</v>
      </c>
      <c r="E924" s="2" t="s">
        <v>2631</v>
      </c>
      <c r="H924" s="2">
        <v>2.0</v>
      </c>
      <c r="I924" s="2">
        <v>0.0</v>
      </c>
      <c r="K924" s="8" t="str">
        <f t="shared" si="1"/>
        <v>CALL InsertOrUpdateAtributosProductos ('4202','576','16','FORMATO','Botella 1,5 lts Pack 6','2','0');</v>
      </c>
    </row>
    <row r="925">
      <c r="A925" s="2">
        <v>4203.0</v>
      </c>
      <c r="B925" s="2">
        <v>576.0</v>
      </c>
      <c r="C925" s="2">
        <v>16.0</v>
      </c>
      <c r="D925" s="2" t="s">
        <v>1331</v>
      </c>
      <c r="E925" s="2" t="s">
        <v>2624</v>
      </c>
      <c r="H925" s="2">
        <v>3.0</v>
      </c>
      <c r="I925" s="2">
        <v>0.0</v>
      </c>
      <c r="K925" s="8" t="str">
        <f t="shared" si="1"/>
        <v>CALL InsertOrUpdateAtributosProductos ('4203','576','16','FORMATO','Botella 2,25 lts Pack 8','3','0');</v>
      </c>
    </row>
    <row r="926">
      <c r="A926" s="2">
        <v>4204.0</v>
      </c>
      <c r="B926" s="2">
        <v>576.0</v>
      </c>
      <c r="C926" s="2">
        <v>16.0</v>
      </c>
      <c r="D926" s="2" t="s">
        <v>1331</v>
      </c>
      <c r="E926" s="2" t="s">
        <v>2625</v>
      </c>
      <c r="H926" s="2">
        <v>4.0</v>
      </c>
      <c r="I926" s="2">
        <v>0.0</v>
      </c>
      <c r="K926" s="8" t="str">
        <f t="shared" si="1"/>
        <v>CALL InsertOrUpdateAtributosProductos ('4204','576','16','FORMATO','Botella 3 lts Pack 6','4','0');</v>
      </c>
    </row>
    <row r="927">
      <c r="A927" s="2">
        <v>4735.0</v>
      </c>
      <c r="B927" s="2">
        <v>577.0</v>
      </c>
      <c r="C927" s="2">
        <v>16.0</v>
      </c>
      <c r="D927" s="2" t="s">
        <v>1331</v>
      </c>
      <c r="E927" s="2" t="s">
        <v>2630</v>
      </c>
      <c r="H927" s="2">
        <v>5.0</v>
      </c>
      <c r="I927" s="2">
        <v>0.0</v>
      </c>
      <c r="K927" s="8" t="str">
        <f t="shared" si="1"/>
        <v>CALL InsertOrUpdateAtributosProductos ('4735','577','16','FORMATO','Lata 354 cc (Pack 6)','5','0');</v>
      </c>
    </row>
    <row r="928">
      <c r="A928" s="2">
        <v>4205.0</v>
      </c>
      <c r="B928" s="2">
        <v>578.0</v>
      </c>
      <c r="C928" s="2">
        <v>16.0</v>
      </c>
      <c r="D928" s="2" t="s">
        <v>1331</v>
      </c>
      <c r="E928" s="2" t="s">
        <v>2627</v>
      </c>
      <c r="H928" s="2">
        <v>1.0</v>
      </c>
      <c r="I928" s="2">
        <v>0.0</v>
      </c>
      <c r="K928" s="8" t="str">
        <f t="shared" si="1"/>
        <v>CALL InsertOrUpdateAtributosProductos ('4205','578','16','FORMATO','Botella 500 ml Pack 6','1','0');</v>
      </c>
    </row>
    <row r="929">
      <c r="A929" s="2">
        <v>4206.0</v>
      </c>
      <c r="B929" s="2">
        <v>578.0</v>
      </c>
      <c r="C929" s="2">
        <v>16.0</v>
      </c>
      <c r="D929" s="2" t="s">
        <v>1331</v>
      </c>
      <c r="E929" s="2" t="s">
        <v>2631</v>
      </c>
      <c r="H929" s="2">
        <v>2.0</v>
      </c>
      <c r="I929" s="2">
        <v>0.0</v>
      </c>
      <c r="K929" s="8" t="str">
        <f t="shared" si="1"/>
        <v>CALL InsertOrUpdateAtributosProductos ('4206','578','16','FORMATO','Botella 1,5 lts Pack 6','2','0');</v>
      </c>
    </row>
    <row r="930">
      <c r="A930" s="2">
        <v>4736.0</v>
      </c>
      <c r="B930" s="2">
        <v>580.0</v>
      </c>
      <c r="C930" s="2">
        <v>16.0</v>
      </c>
      <c r="D930" s="2" t="s">
        <v>1331</v>
      </c>
      <c r="E930" s="2" t="s">
        <v>2630</v>
      </c>
      <c r="H930" s="2">
        <v>5.0</v>
      </c>
      <c r="I930" s="2">
        <v>0.0</v>
      </c>
      <c r="K930" s="8" t="str">
        <f t="shared" si="1"/>
        <v>CALL InsertOrUpdateAtributosProductos ('4736','580','16','FORMATO','Lata 354 cc (Pack 6)','5','0');</v>
      </c>
    </row>
    <row r="931">
      <c r="A931" s="2">
        <v>4737.0</v>
      </c>
      <c r="B931" s="2">
        <v>581.0</v>
      </c>
      <c r="C931" s="2">
        <v>16.0</v>
      </c>
      <c r="D931" s="2" t="s">
        <v>1331</v>
      </c>
      <c r="E931" s="2" t="s">
        <v>2632</v>
      </c>
      <c r="H931" s="2">
        <v>5.0</v>
      </c>
      <c r="I931" s="2">
        <v>0.0</v>
      </c>
      <c r="K931" s="8" t="str">
        <f t="shared" si="1"/>
        <v>CALL InsertOrUpdateAtributosProductos ('4737','581','16','FORMATO','Botella 1,5 lts (Pack 8)','5','0');</v>
      </c>
    </row>
    <row r="932">
      <c r="A932" s="2">
        <v>4207.0</v>
      </c>
      <c r="B932" s="2">
        <v>582.0</v>
      </c>
      <c r="C932" s="2">
        <v>16.0</v>
      </c>
      <c r="D932" s="2" t="s">
        <v>1331</v>
      </c>
      <c r="E932" s="2" t="s">
        <v>2633</v>
      </c>
      <c r="H932" s="2">
        <v>1.0</v>
      </c>
      <c r="I932" s="2">
        <v>0.0</v>
      </c>
      <c r="K932" s="8" t="str">
        <f t="shared" si="1"/>
        <v>CALL InsertOrUpdateAtributosProductos ('4207','582','16','FORMATO','Cola 2,25 lts','1','0');</v>
      </c>
    </row>
    <row r="933">
      <c r="A933" s="2">
        <v>4208.0</v>
      </c>
      <c r="B933" s="2">
        <v>582.0</v>
      </c>
      <c r="C933" s="2">
        <v>16.0</v>
      </c>
      <c r="D933" s="2" t="s">
        <v>1331</v>
      </c>
      <c r="E933" s="2" t="s">
        <v>2634</v>
      </c>
      <c r="H933" s="2">
        <v>2.0</v>
      </c>
      <c r="I933" s="2">
        <v>0.0</v>
      </c>
      <c r="K933" s="8" t="str">
        <f t="shared" si="1"/>
        <v>CALL InsertOrUpdateAtributosProductos ('4208','582','16','FORMATO','Cola sin azúcas 2,25 lts','2','0');</v>
      </c>
    </row>
    <row r="934">
      <c r="A934" s="2">
        <v>4209.0</v>
      </c>
      <c r="B934" s="2">
        <v>582.0</v>
      </c>
      <c r="C934" s="2">
        <v>16.0</v>
      </c>
      <c r="D934" s="2" t="s">
        <v>1331</v>
      </c>
      <c r="E934" s="2" t="s">
        <v>2635</v>
      </c>
      <c r="H934" s="2">
        <v>3.0</v>
      </c>
      <c r="I934" s="2">
        <v>0.0</v>
      </c>
      <c r="K934" s="8" t="str">
        <f t="shared" si="1"/>
        <v>CALL InsertOrUpdateAtributosProductos ('4209','582','16','FORMATO','Lima 2,25 lts','3','0');</v>
      </c>
    </row>
    <row r="935">
      <c r="A935" s="2">
        <v>4210.0</v>
      </c>
      <c r="B935" s="2">
        <v>582.0</v>
      </c>
      <c r="C935" s="2">
        <v>16.0</v>
      </c>
      <c r="D935" s="2" t="s">
        <v>1331</v>
      </c>
      <c r="E935" s="2" t="s">
        <v>2636</v>
      </c>
      <c r="H935" s="2">
        <v>4.0</v>
      </c>
      <c r="I935" s="2">
        <v>0.0</v>
      </c>
      <c r="K935" s="8" t="str">
        <f t="shared" si="1"/>
        <v>CALL InsertOrUpdateAtributosProductos ('4210','582','16','FORMATO','Lima sin azúcar 2,25 lts','4','0');</v>
      </c>
    </row>
    <row r="936">
      <c r="A936" s="2">
        <v>4211.0</v>
      </c>
      <c r="B936" s="2">
        <v>582.0</v>
      </c>
      <c r="C936" s="2">
        <v>16.0</v>
      </c>
      <c r="D936" s="2" t="s">
        <v>1331</v>
      </c>
      <c r="E936" s="2" t="s">
        <v>2637</v>
      </c>
      <c r="H936" s="2">
        <v>5.0</v>
      </c>
      <c r="I936" s="2">
        <v>0.0</v>
      </c>
      <c r="K936" s="8" t="str">
        <f t="shared" si="1"/>
        <v>CALL InsertOrUpdateAtributosProductos ('4211','582','16','FORMATO','Naranja 2,25 lts','5','0');</v>
      </c>
    </row>
    <row r="937">
      <c r="A937" s="2">
        <v>4212.0</v>
      </c>
      <c r="B937" s="2">
        <v>582.0</v>
      </c>
      <c r="C937" s="2">
        <v>16.0</v>
      </c>
      <c r="D937" s="2" t="s">
        <v>1331</v>
      </c>
      <c r="E937" s="2" t="s">
        <v>2638</v>
      </c>
      <c r="H937" s="2">
        <v>6.0</v>
      </c>
      <c r="I937" s="2">
        <v>0.0</v>
      </c>
      <c r="K937" s="8" t="str">
        <f t="shared" si="1"/>
        <v>CALL InsertOrUpdateAtributosProductos ('4212','582','16','FORMATO','Naranja light 2,25 lts','6','0');</v>
      </c>
    </row>
    <row r="938">
      <c r="A938" s="2">
        <v>4213.0</v>
      </c>
      <c r="B938" s="2">
        <v>582.0</v>
      </c>
      <c r="C938" s="2">
        <v>16.0</v>
      </c>
      <c r="D938" s="2" t="s">
        <v>1331</v>
      </c>
      <c r="E938" s="2" t="s">
        <v>2639</v>
      </c>
      <c r="H938" s="2">
        <v>7.0</v>
      </c>
      <c r="I938" s="2">
        <v>0.0</v>
      </c>
      <c r="K938" s="8" t="str">
        <f t="shared" si="1"/>
        <v>CALL InsertOrUpdateAtributosProductos ('4213','582','16','FORMATO','Pomelo 2,25 lts','7','0');</v>
      </c>
    </row>
    <row r="939">
      <c r="A939" s="2">
        <v>4214.0</v>
      </c>
      <c r="B939" s="2">
        <v>582.0</v>
      </c>
      <c r="C939" s="2">
        <v>16.0</v>
      </c>
      <c r="D939" s="2" t="s">
        <v>1331</v>
      </c>
      <c r="E939" s="2" t="s">
        <v>2640</v>
      </c>
      <c r="H939" s="2">
        <v>8.0</v>
      </c>
      <c r="I939" s="2">
        <v>0.0</v>
      </c>
      <c r="K939" s="8" t="str">
        <f t="shared" si="1"/>
        <v>CALL InsertOrUpdateAtributosProductos ('4214','582','16','FORMATO','Pomelo light 2,25 lts','8','0');</v>
      </c>
    </row>
    <row r="940">
      <c r="A940" s="2">
        <v>4215.0</v>
      </c>
      <c r="B940" s="2">
        <v>582.0</v>
      </c>
      <c r="C940" s="2">
        <v>16.0</v>
      </c>
      <c r="D940" s="2" t="s">
        <v>1331</v>
      </c>
      <c r="E940" s="2" t="s">
        <v>2641</v>
      </c>
      <c r="H940" s="2">
        <v>9.0</v>
      </c>
      <c r="I940" s="2">
        <v>0.0</v>
      </c>
      <c r="K940" s="8" t="str">
        <f t="shared" si="1"/>
        <v>CALL InsertOrUpdateAtributosProductos ('4215','582','16','FORMATO','Tónica 2,25 lts','9','0');</v>
      </c>
    </row>
    <row r="941">
      <c r="A941" s="2">
        <v>4216.0</v>
      </c>
      <c r="B941" s="2">
        <v>587.0</v>
      </c>
      <c r="C941" s="2">
        <v>16.0</v>
      </c>
      <c r="D941" s="2" t="s">
        <v>1331</v>
      </c>
      <c r="E941" s="2" t="s">
        <v>2642</v>
      </c>
      <c r="H941" s="2">
        <v>1.0</v>
      </c>
      <c r="I941" s="2">
        <v>0.0</v>
      </c>
      <c r="K941" s="8" t="str">
        <f t="shared" si="1"/>
        <v>CALL InsertOrUpdateAtributosProductos ('4216','587','16','FORMATO','Lata 473 ml Pack 24','1','0');</v>
      </c>
    </row>
    <row r="942">
      <c r="A942" s="2">
        <v>4217.0</v>
      </c>
      <c r="B942" s="2">
        <v>587.0</v>
      </c>
      <c r="C942" s="2">
        <v>16.0</v>
      </c>
      <c r="D942" s="2" t="s">
        <v>1331</v>
      </c>
      <c r="E942" s="2" t="s">
        <v>2643</v>
      </c>
      <c r="H942" s="2">
        <v>2.0</v>
      </c>
      <c r="I942" s="2">
        <v>0.0</v>
      </c>
      <c r="K942" s="8" t="str">
        <f t="shared" si="1"/>
        <v>CALL InsertOrUpdateAtributosProductos ('4217','587','16','FORMATO','Porrón 340 ml Pack 24','2','0');</v>
      </c>
    </row>
    <row r="943">
      <c r="A943" s="2">
        <v>4218.0</v>
      </c>
      <c r="B943" s="2">
        <v>587.0</v>
      </c>
      <c r="C943" s="2">
        <v>16.0</v>
      </c>
      <c r="D943" s="2" t="s">
        <v>1331</v>
      </c>
      <c r="E943" s="2" t="s">
        <v>2644</v>
      </c>
      <c r="H943" s="2">
        <v>3.0</v>
      </c>
      <c r="I943" s="2">
        <v>0.0</v>
      </c>
      <c r="K943" s="8" t="str">
        <f t="shared" si="1"/>
        <v>CALL InsertOrUpdateAtributosProductos ('4218','587','16','FORMATO','Botella 1 lt','3','0');</v>
      </c>
    </row>
    <row r="944">
      <c r="A944" s="2">
        <v>4738.0</v>
      </c>
      <c r="B944" s="2">
        <v>595.0</v>
      </c>
      <c r="C944" s="2">
        <v>16.0</v>
      </c>
      <c r="D944" s="2" t="s">
        <v>1331</v>
      </c>
      <c r="E944" s="2" t="s">
        <v>2645</v>
      </c>
      <c r="H944" s="2">
        <v>5.0</v>
      </c>
      <c r="I944" s="2">
        <v>0.0</v>
      </c>
      <c r="K944" s="8" t="str">
        <f t="shared" si="1"/>
        <v>CALL InsertOrUpdateAtributosProductos ('4738','595','16','FORMATO','Lata 473 ml','5','0');</v>
      </c>
    </row>
    <row r="945">
      <c r="A945" s="2">
        <v>4739.0</v>
      </c>
      <c r="B945" s="2">
        <v>595.0</v>
      </c>
      <c r="C945" s="2">
        <v>16.0</v>
      </c>
      <c r="D945" s="2" t="s">
        <v>1331</v>
      </c>
      <c r="E945" s="2" t="s">
        <v>2646</v>
      </c>
      <c r="H945" s="2">
        <v>5.0</v>
      </c>
      <c r="I945" s="2">
        <v>0.0</v>
      </c>
      <c r="K945" s="8" t="str">
        <f t="shared" si="1"/>
        <v>CALL InsertOrUpdateAtributosProductos ('4739','595','16','FORMATO','Lata 710 ml','5','0');</v>
      </c>
    </row>
    <row r="946">
      <c r="A946" s="2">
        <v>4219.0</v>
      </c>
      <c r="B946" s="2">
        <v>599.0</v>
      </c>
      <c r="C946" s="2">
        <v>16.0</v>
      </c>
      <c r="D946" s="2" t="s">
        <v>1331</v>
      </c>
      <c r="E946" s="2" t="s">
        <v>2647</v>
      </c>
      <c r="H946" s="2">
        <v>2.0</v>
      </c>
      <c r="I946" s="2">
        <v>0.0</v>
      </c>
      <c r="K946" s="8" t="str">
        <f t="shared" si="1"/>
        <v>CALL InsertOrUpdateAtributosProductos ('4219','599','16','FORMATO','Porrón 730 ml Pack 24','2','0');</v>
      </c>
    </row>
    <row r="947">
      <c r="A947" s="2">
        <v>4220.0</v>
      </c>
      <c r="B947" s="2">
        <v>599.0</v>
      </c>
      <c r="C947" s="2">
        <v>16.0</v>
      </c>
      <c r="D947" s="2" t="s">
        <v>1331</v>
      </c>
      <c r="E947" s="2" t="s">
        <v>2642</v>
      </c>
      <c r="H947" s="2">
        <v>1.0</v>
      </c>
      <c r="I947" s="2">
        <v>0.0</v>
      </c>
      <c r="K947" s="8" t="str">
        <f t="shared" si="1"/>
        <v>CALL InsertOrUpdateAtributosProductos ('4220','599','16','FORMATO','Lata 473 ml Pack 24','1','0');</v>
      </c>
    </row>
    <row r="948">
      <c r="A948" s="2">
        <v>4221.0</v>
      </c>
      <c r="B948" s="2">
        <v>601.0</v>
      </c>
      <c r="C948" s="2">
        <v>16.0</v>
      </c>
      <c r="D948" s="2" t="s">
        <v>1331</v>
      </c>
      <c r="E948" s="2" t="s">
        <v>2648</v>
      </c>
      <c r="H948" s="2">
        <v>1.0</v>
      </c>
      <c r="I948" s="2">
        <v>0.0</v>
      </c>
      <c r="K948" s="8" t="str">
        <f t="shared" si="1"/>
        <v>CALL InsertOrUpdateAtributosProductos ('4221','601','16','FORMATO','500 ml con gas pack 24','1','0');</v>
      </c>
    </row>
    <row r="949">
      <c r="A949" s="2">
        <v>4222.0</v>
      </c>
      <c r="B949" s="2">
        <v>601.0</v>
      </c>
      <c r="C949" s="2">
        <v>16.0</v>
      </c>
      <c r="D949" s="2" t="s">
        <v>1331</v>
      </c>
      <c r="E949" s="2" t="s">
        <v>2649</v>
      </c>
      <c r="H949" s="2">
        <v>2.0</v>
      </c>
      <c r="I949" s="2">
        <v>0.0</v>
      </c>
      <c r="K949" s="8" t="str">
        <f t="shared" si="1"/>
        <v>CALL InsertOrUpdateAtributosProductos ('4222','601','16','FORMATO','500 ml sin gas pack 24','2','0');</v>
      </c>
    </row>
    <row r="950">
      <c r="A950" s="2">
        <v>4223.0</v>
      </c>
      <c r="B950" s="2">
        <v>602.0</v>
      </c>
      <c r="C950" s="2">
        <v>16.0</v>
      </c>
      <c r="D950" s="2" t="s">
        <v>1331</v>
      </c>
      <c r="E950" s="2" t="s">
        <v>2648</v>
      </c>
      <c r="H950" s="2">
        <v>1.0</v>
      </c>
      <c r="I950" s="2">
        <v>0.0</v>
      </c>
      <c r="K950" s="8" t="str">
        <f t="shared" si="1"/>
        <v>CALL InsertOrUpdateAtributosProductos ('4223','602','16','FORMATO','500 ml con gas pack 24','1','0');</v>
      </c>
    </row>
    <row r="951">
      <c r="A951" s="2">
        <v>4224.0</v>
      </c>
      <c r="B951" s="2">
        <v>602.0</v>
      </c>
      <c r="C951" s="2">
        <v>16.0</v>
      </c>
      <c r="D951" s="2" t="s">
        <v>1331</v>
      </c>
      <c r="E951" s="2" t="s">
        <v>2649</v>
      </c>
      <c r="H951" s="2">
        <v>2.0</v>
      </c>
      <c r="I951" s="2">
        <v>0.0</v>
      </c>
      <c r="K951" s="8" t="str">
        <f t="shared" si="1"/>
        <v>CALL InsertOrUpdateAtributosProductos ('4224','602','16','FORMATO','500 ml sin gas pack 24','2','0');</v>
      </c>
    </row>
    <row r="952">
      <c r="A952" s="2">
        <v>4225.0</v>
      </c>
      <c r="B952" s="2">
        <v>602.0</v>
      </c>
      <c r="C952" s="2">
        <v>16.0</v>
      </c>
      <c r="D952" s="2" t="s">
        <v>1331</v>
      </c>
      <c r="E952" s="2" t="s">
        <v>2650</v>
      </c>
      <c r="H952" s="2">
        <v>3.0</v>
      </c>
      <c r="I952" s="2">
        <v>0.0</v>
      </c>
      <c r="K952" s="8" t="str">
        <f t="shared" si="1"/>
        <v>CALL InsertOrUpdateAtributosProductos ('4225','602','16','FORMATO','1,5 lts con gas pack 24','3','0');</v>
      </c>
    </row>
    <row r="953">
      <c r="A953" s="2">
        <v>4226.0</v>
      </c>
      <c r="B953" s="2">
        <v>602.0</v>
      </c>
      <c r="C953" s="2">
        <v>16.0</v>
      </c>
      <c r="D953" s="2" t="s">
        <v>1331</v>
      </c>
      <c r="E953" s="2" t="s">
        <v>2651</v>
      </c>
      <c r="H953" s="2">
        <v>4.0</v>
      </c>
      <c r="I953" s="2">
        <v>0.0</v>
      </c>
      <c r="K953" s="8" t="str">
        <f t="shared" si="1"/>
        <v>CALL InsertOrUpdateAtributosProductos ('4226','602','16','FORMATO','1,5 lts sin gas pack 24','4','0');</v>
      </c>
    </row>
    <row r="954">
      <c r="A954" s="2">
        <v>4227.0</v>
      </c>
      <c r="B954" s="2">
        <v>602.0</v>
      </c>
      <c r="C954" s="2">
        <v>16.0</v>
      </c>
      <c r="D954" s="2" t="s">
        <v>1331</v>
      </c>
      <c r="E954" s="2" t="s">
        <v>2652</v>
      </c>
      <c r="H954" s="2">
        <v>5.0</v>
      </c>
      <c r="I954" s="2">
        <v>0.0</v>
      </c>
      <c r="K954" s="8" t="str">
        <f t="shared" si="1"/>
        <v>CALL InsertOrUpdateAtributosProductos ('4227','602','16','FORMATO','2 lts con gas pack 24','5','0');</v>
      </c>
    </row>
    <row r="955">
      <c r="A955" s="2">
        <v>4740.0</v>
      </c>
      <c r="B955" s="2">
        <v>602.0</v>
      </c>
      <c r="C955" s="2">
        <v>16.0</v>
      </c>
      <c r="D955" s="2" t="s">
        <v>1331</v>
      </c>
      <c r="E955" s="2" t="s">
        <v>2653</v>
      </c>
      <c r="H955" s="2">
        <v>5.0</v>
      </c>
      <c r="I955" s="2">
        <v>0.0</v>
      </c>
      <c r="K955" s="8" t="str">
        <f t="shared" si="1"/>
        <v>CALL InsertOrUpdateAtributosProductos ('4740','602','16','FORMATO','2 lts sin gas pack 24','5','0');</v>
      </c>
    </row>
    <row r="956">
      <c r="A956" s="2">
        <v>4228.0</v>
      </c>
      <c r="B956" s="2">
        <v>603.0</v>
      </c>
      <c r="C956" s="2">
        <v>16.0</v>
      </c>
      <c r="D956" s="2" t="s">
        <v>1331</v>
      </c>
      <c r="E956" s="2" t="s">
        <v>2654</v>
      </c>
      <c r="H956" s="2">
        <v>1.0</v>
      </c>
      <c r="I956" s="2">
        <v>0.0</v>
      </c>
      <c r="K956" s="8" t="str">
        <f t="shared" si="1"/>
        <v>CALL InsertOrUpdateAtributosProductos ('4228','603','16','FORMATO','1 lt Manzana Pack 18','1','0');</v>
      </c>
    </row>
    <row r="957">
      <c r="A957" s="2">
        <v>4229.0</v>
      </c>
      <c r="B957" s="2">
        <v>603.0</v>
      </c>
      <c r="C957" s="2">
        <v>16.0</v>
      </c>
      <c r="D957" s="2" t="s">
        <v>1331</v>
      </c>
      <c r="E957" s="2" t="s">
        <v>2655</v>
      </c>
      <c r="H957" s="2">
        <v>2.0</v>
      </c>
      <c r="I957" s="2">
        <v>0.0</v>
      </c>
      <c r="K957" s="8" t="str">
        <f t="shared" si="1"/>
        <v>CALL InsertOrUpdateAtributosProductos ('4229','603','16','FORMATO','1 lt Multifruta Pack 18','2','0');</v>
      </c>
    </row>
    <row r="958">
      <c r="A958" s="2">
        <v>4230.0</v>
      </c>
      <c r="B958" s="2">
        <v>603.0</v>
      </c>
      <c r="C958" s="2">
        <v>16.0</v>
      </c>
      <c r="D958" s="2" t="s">
        <v>1331</v>
      </c>
      <c r="E958" s="2" t="s">
        <v>2656</v>
      </c>
      <c r="H958" s="2">
        <v>3.0</v>
      </c>
      <c r="I958" s="2">
        <v>0.0</v>
      </c>
      <c r="K958" s="8" t="str">
        <f t="shared" si="1"/>
        <v>CALL InsertOrUpdateAtributosProductos ('4230','603','16','FORMATO','1 lt Naranja Pack 18','3','0');</v>
      </c>
    </row>
    <row r="959">
      <c r="A959" s="2">
        <v>4231.0</v>
      </c>
      <c r="B959" s="2">
        <v>605.0</v>
      </c>
      <c r="C959" s="2">
        <v>16.0</v>
      </c>
      <c r="D959" s="2" t="s">
        <v>1331</v>
      </c>
      <c r="E959" s="2" t="s">
        <v>2657</v>
      </c>
      <c r="H959" s="2">
        <v>1.0</v>
      </c>
      <c r="I959" s="2">
        <v>0.0</v>
      </c>
      <c r="K959" s="8" t="str">
        <f t="shared" si="1"/>
        <v>CALL InsertOrUpdateAtributosProductos ('4231','605','16','FORMATO','50 ml Caja x 12','1','0');</v>
      </c>
    </row>
    <row r="960">
      <c r="A960" s="2">
        <v>4232.0</v>
      </c>
      <c r="B960" s="2">
        <v>605.0</v>
      </c>
      <c r="C960" s="2">
        <v>16.0</v>
      </c>
      <c r="D960" s="2" t="s">
        <v>1331</v>
      </c>
      <c r="E960" s="2" t="s">
        <v>2658</v>
      </c>
      <c r="H960" s="2">
        <v>2.0</v>
      </c>
      <c r="I960" s="2">
        <v>0.0</v>
      </c>
      <c r="K960" s="8" t="str">
        <f t="shared" si="1"/>
        <v>CALL InsertOrUpdateAtributosProductos ('4232','605','16','FORMATO','450 ml Caja x 6','2','0');</v>
      </c>
    </row>
    <row r="961">
      <c r="A961" s="2">
        <v>4233.0</v>
      </c>
      <c r="B961" s="2">
        <v>605.0</v>
      </c>
      <c r="C961" s="2">
        <v>16.0</v>
      </c>
      <c r="D961" s="2" t="s">
        <v>1331</v>
      </c>
      <c r="E961" s="2" t="s">
        <v>2659</v>
      </c>
      <c r="H961" s="2">
        <v>3.0</v>
      </c>
      <c r="I961" s="2">
        <v>0.0</v>
      </c>
      <c r="K961" s="8" t="str">
        <f t="shared" si="1"/>
        <v>CALL InsertOrUpdateAtributosProductos ('4233','605','16','FORMATO','750 ml Caja x 6','3','0');</v>
      </c>
    </row>
    <row r="962">
      <c r="A962" s="2">
        <v>4234.0</v>
      </c>
      <c r="B962" s="2">
        <v>605.0</v>
      </c>
      <c r="C962" s="2">
        <v>16.0</v>
      </c>
      <c r="D962" s="2" t="s">
        <v>1331</v>
      </c>
      <c r="E962" s="2" t="s">
        <v>2660</v>
      </c>
      <c r="H962" s="2">
        <v>4.0</v>
      </c>
      <c r="I962" s="2">
        <v>0.0</v>
      </c>
      <c r="K962" s="8" t="str">
        <f t="shared" si="1"/>
        <v>CALL InsertOrUpdateAtributosProductos ('4234','605','16','FORMATO','1000 ml Caja x 6','4','0');</v>
      </c>
    </row>
    <row r="963">
      <c r="A963" s="2">
        <v>4235.0</v>
      </c>
      <c r="B963" s="2">
        <v>606.0</v>
      </c>
      <c r="C963" s="2">
        <v>16.0</v>
      </c>
      <c r="D963" s="2" t="s">
        <v>1331</v>
      </c>
      <c r="E963" s="2" t="s">
        <v>2657</v>
      </c>
      <c r="H963" s="2">
        <v>1.0</v>
      </c>
      <c r="I963" s="2">
        <v>0.0</v>
      </c>
      <c r="K963" s="8" t="str">
        <f t="shared" si="1"/>
        <v>CALL InsertOrUpdateAtributosProductos ('4235','606','16','FORMATO','50 ml Caja x 12','1','0');</v>
      </c>
    </row>
    <row r="964">
      <c r="A964" s="2">
        <v>4236.0</v>
      </c>
      <c r="B964" s="2">
        <v>606.0</v>
      </c>
      <c r="C964" s="2">
        <v>16.0</v>
      </c>
      <c r="D964" s="2" t="s">
        <v>1331</v>
      </c>
      <c r="E964" s="2" t="s">
        <v>2658</v>
      </c>
      <c r="H964" s="2">
        <v>2.0</v>
      </c>
      <c r="I964" s="2">
        <v>0.0</v>
      </c>
      <c r="K964" s="8" t="str">
        <f t="shared" si="1"/>
        <v>CALL InsertOrUpdateAtributosProductos ('4236','606','16','FORMATO','450 ml Caja x 6','2','0');</v>
      </c>
    </row>
    <row r="965">
      <c r="A965" s="2">
        <v>4237.0</v>
      </c>
      <c r="B965" s="2">
        <v>606.0</v>
      </c>
      <c r="C965" s="2">
        <v>16.0</v>
      </c>
      <c r="D965" s="2" t="s">
        <v>1331</v>
      </c>
      <c r="E965" s="2" t="s">
        <v>2659</v>
      </c>
      <c r="H965" s="2">
        <v>3.0</v>
      </c>
      <c r="I965" s="2">
        <v>0.0</v>
      </c>
      <c r="K965" s="8" t="str">
        <f t="shared" si="1"/>
        <v>CALL InsertOrUpdateAtributosProductos ('4237','606','16','FORMATO','750 ml Caja x 6','3','0');</v>
      </c>
    </row>
    <row r="966">
      <c r="A966" s="2">
        <v>4238.0</v>
      </c>
      <c r="B966" s="2">
        <v>619.0</v>
      </c>
      <c r="C966" s="2">
        <v>17.0</v>
      </c>
      <c r="D966" s="2" t="s">
        <v>1521</v>
      </c>
      <c r="E966" s="2" t="s">
        <v>2661</v>
      </c>
      <c r="H966" s="2">
        <v>1.0</v>
      </c>
      <c r="I966" s="2">
        <v>0.0</v>
      </c>
      <c r="K966" s="8" t="str">
        <f t="shared" si="1"/>
        <v>CALL InsertOrUpdateAtributosProductos ('4238','619','17','VARIEDAD','Cosecha 2017 Caja x 6','1','0');</v>
      </c>
    </row>
    <row r="967">
      <c r="A967" s="2">
        <v>4239.0</v>
      </c>
      <c r="B967" s="2">
        <v>619.0</v>
      </c>
      <c r="C967" s="2">
        <v>17.0</v>
      </c>
      <c r="D967" s="2" t="s">
        <v>1521</v>
      </c>
      <c r="E967" s="2" t="s">
        <v>2662</v>
      </c>
      <c r="H967" s="2">
        <v>2.0</v>
      </c>
      <c r="I967" s="2">
        <v>0.0</v>
      </c>
      <c r="K967" s="8" t="str">
        <f t="shared" si="1"/>
        <v>CALL InsertOrUpdateAtributosProductos ('4239','619','17','VARIEDAD','Cosecha 2018 Caja x 6','2','0');</v>
      </c>
    </row>
    <row r="968">
      <c r="A968" s="2">
        <v>4240.0</v>
      </c>
      <c r="B968" s="2">
        <v>619.0</v>
      </c>
      <c r="C968" s="2">
        <v>17.0</v>
      </c>
      <c r="D968" s="2" t="s">
        <v>1521</v>
      </c>
      <c r="E968" s="2" t="s">
        <v>2663</v>
      </c>
      <c r="H968" s="2">
        <v>3.0</v>
      </c>
      <c r="I968" s="2">
        <v>0.0</v>
      </c>
      <c r="K968" s="8" t="str">
        <f t="shared" si="1"/>
        <v>CALL InsertOrUpdateAtributosProductos ('4240','619','17','VARIEDAD','Cosecha 2019 Caja x 6','3','0');</v>
      </c>
    </row>
    <row r="969">
      <c r="A969" s="2">
        <v>4241.0</v>
      </c>
      <c r="B969" s="2">
        <v>619.0</v>
      </c>
      <c r="C969" s="2">
        <v>17.0</v>
      </c>
      <c r="D969" s="2" t="s">
        <v>1521</v>
      </c>
      <c r="E969" s="2" t="s">
        <v>2664</v>
      </c>
      <c r="H969" s="2">
        <v>4.0</v>
      </c>
      <c r="I969" s="2">
        <v>0.0</v>
      </c>
      <c r="K969" s="8" t="str">
        <f t="shared" si="1"/>
        <v>CALL InsertOrUpdateAtributosProductos ('4241','619','17','VARIEDAD','Cabernet-Malbec Cosecha 2019 Caja x 6','4','0');</v>
      </c>
    </row>
    <row r="970">
      <c r="A970" s="2">
        <v>4242.0</v>
      </c>
      <c r="B970" s="2">
        <v>619.0</v>
      </c>
      <c r="C970" s="2">
        <v>17.0</v>
      </c>
      <c r="D970" s="2" t="s">
        <v>1521</v>
      </c>
      <c r="E970" s="2" t="s">
        <v>2665</v>
      </c>
      <c r="H970" s="2">
        <v>5.0</v>
      </c>
      <c r="I970" s="2">
        <v>0.0</v>
      </c>
      <c r="K970" s="8" t="str">
        <f t="shared" si="1"/>
        <v>CALL InsertOrUpdateAtributosProductos ('4242','619','17','VARIEDAD','Sauvignon Blanc Caja x 6','5','0');</v>
      </c>
    </row>
    <row r="971">
      <c r="A971" s="2">
        <v>4243.0</v>
      </c>
      <c r="B971" s="2">
        <v>619.0</v>
      </c>
      <c r="C971" s="2">
        <v>17.0</v>
      </c>
      <c r="D971" s="2" t="s">
        <v>1521</v>
      </c>
      <c r="E971" s="2" t="s">
        <v>2666</v>
      </c>
      <c r="H971" s="2">
        <v>6.0</v>
      </c>
      <c r="I971" s="2">
        <v>0.0</v>
      </c>
      <c r="K971" s="8" t="str">
        <f t="shared" si="1"/>
        <v>CALL InsertOrUpdateAtributosProductos ('4243','619','17','VARIEDAD','Cabernet Franc Malbec 2019 Caja x 6','6','0');</v>
      </c>
    </row>
    <row r="972">
      <c r="A972" s="2">
        <v>4244.0</v>
      </c>
      <c r="B972" s="2">
        <v>619.0</v>
      </c>
      <c r="C972" s="2">
        <v>17.0</v>
      </c>
      <c r="D972" s="2" t="s">
        <v>1521</v>
      </c>
      <c r="E972" s="2" t="s">
        <v>2667</v>
      </c>
      <c r="H972" s="2">
        <v>7.0</v>
      </c>
      <c r="I972" s="2">
        <v>0.0</v>
      </c>
      <c r="K972" s="8" t="str">
        <f t="shared" si="1"/>
        <v>CALL InsertOrUpdateAtributosProductos ('4244','619','17','VARIEDAD','Cabernet Franc Malbec 2018 Caja x 6','7','0');</v>
      </c>
    </row>
    <row r="973">
      <c r="A973" s="2">
        <v>4245.0</v>
      </c>
      <c r="B973" s="2">
        <v>620.0</v>
      </c>
      <c r="C973" s="2">
        <v>17.0</v>
      </c>
      <c r="D973" s="2" t="s">
        <v>1521</v>
      </c>
      <c r="E973" s="2" t="s">
        <v>2668</v>
      </c>
      <c r="H973" s="2">
        <v>1.0</v>
      </c>
      <c r="I973" s="2">
        <v>0.0</v>
      </c>
      <c r="K973" s="8" t="str">
        <f t="shared" si="1"/>
        <v>CALL InsertOrUpdateAtributosProductos ('4245','620','17','VARIEDAD','Malbec Caja x 6','1','0');</v>
      </c>
    </row>
    <row r="974">
      <c r="A974" s="2">
        <v>4246.0</v>
      </c>
      <c r="B974" s="2">
        <v>620.0</v>
      </c>
      <c r="C974" s="2">
        <v>17.0</v>
      </c>
      <c r="D974" s="2" t="s">
        <v>1521</v>
      </c>
      <c r="E974" s="2" t="s">
        <v>2669</v>
      </c>
      <c r="H974" s="2">
        <v>2.0</v>
      </c>
      <c r="I974" s="2">
        <v>0.0</v>
      </c>
      <c r="K974" s="8" t="str">
        <f t="shared" si="1"/>
        <v>CALL InsertOrUpdateAtributosProductos ('4246','620','17','VARIEDAD','Cabernet Sauvignon Caja x 6','2','0');</v>
      </c>
    </row>
    <row r="975">
      <c r="A975" s="2">
        <v>4247.0</v>
      </c>
      <c r="B975" s="2">
        <v>620.0</v>
      </c>
      <c r="C975" s="2">
        <v>17.0</v>
      </c>
      <c r="D975" s="2" t="s">
        <v>1521</v>
      </c>
      <c r="E975" s="2" t="s">
        <v>2670</v>
      </c>
      <c r="H975" s="2">
        <v>3.0</v>
      </c>
      <c r="I975" s="2">
        <v>0.0</v>
      </c>
      <c r="K975" s="8" t="str">
        <f t="shared" si="1"/>
        <v>CALL InsertOrUpdateAtributosProductos ('4247','620','17','VARIEDAD','Chardonnay Caja x 6','3','0');</v>
      </c>
    </row>
    <row r="976">
      <c r="A976" s="2">
        <v>4248.0</v>
      </c>
      <c r="B976" s="2">
        <v>620.0</v>
      </c>
      <c r="C976" s="2">
        <v>17.0</v>
      </c>
      <c r="D976" s="2" t="s">
        <v>1521</v>
      </c>
      <c r="E976" s="2" t="s">
        <v>2671</v>
      </c>
      <c r="H976" s="2">
        <v>4.0</v>
      </c>
      <c r="I976" s="2">
        <v>0.0</v>
      </c>
      <c r="K976" s="8" t="str">
        <f t="shared" si="1"/>
        <v>CALL InsertOrUpdateAtributosProductos ('4248','620','17','VARIEDAD','Cabernet Franc Caja x 6','4','0');</v>
      </c>
    </row>
    <row r="977">
      <c r="A977" s="2">
        <v>4249.0</v>
      </c>
      <c r="B977" s="2">
        <v>620.0</v>
      </c>
      <c r="C977" s="2">
        <v>17.0</v>
      </c>
      <c r="D977" s="2" t="s">
        <v>1521</v>
      </c>
      <c r="E977" s="2" t="s">
        <v>2672</v>
      </c>
      <c r="H977" s="2">
        <v>5.0</v>
      </c>
      <c r="I977" s="2">
        <v>0.0</v>
      </c>
      <c r="K977" s="8" t="str">
        <f t="shared" si="1"/>
        <v>CALL InsertOrUpdateAtributosProductos ('4249','620','17','VARIEDAD','Reserve Malvec Caja x 6','5','0');</v>
      </c>
    </row>
    <row r="978">
      <c r="A978" s="2">
        <v>4250.0</v>
      </c>
      <c r="B978" s="2">
        <v>623.0</v>
      </c>
      <c r="C978" s="2">
        <v>17.0</v>
      </c>
      <c r="D978" s="2" t="s">
        <v>1521</v>
      </c>
      <c r="E978" s="2" t="s">
        <v>2668</v>
      </c>
      <c r="H978" s="2">
        <v>1.0</v>
      </c>
      <c r="I978" s="2">
        <v>0.0</v>
      </c>
      <c r="K978" s="8" t="str">
        <f t="shared" si="1"/>
        <v>CALL InsertOrUpdateAtributosProductos ('4250','623','17','VARIEDAD','Malbec Caja x 6','1','0');</v>
      </c>
    </row>
    <row r="979">
      <c r="A979" s="2">
        <v>4251.0</v>
      </c>
      <c r="B979" s="2">
        <v>623.0</v>
      </c>
      <c r="C979" s="2">
        <v>17.0</v>
      </c>
      <c r="D979" s="2" t="s">
        <v>1521</v>
      </c>
      <c r="E979" s="2" t="s">
        <v>2669</v>
      </c>
      <c r="H979" s="2">
        <v>2.0</v>
      </c>
      <c r="I979" s="2">
        <v>0.0</v>
      </c>
      <c r="K979" s="8" t="str">
        <f t="shared" si="1"/>
        <v>CALL InsertOrUpdateAtributosProductos ('4251','623','17','VARIEDAD','Cabernet Sauvignon Caja x 6','2','0');</v>
      </c>
    </row>
    <row r="980">
      <c r="A980" s="2">
        <v>4252.0</v>
      </c>
      <c r="B980" s="2">
        <v>623.0</v>
      </c>
      <c r="C980" s="2">
        <v>17.0</v>
      </c>
      <c r="D980" s="2" t="s">
        <v>1521</v>
      </c>
      <c r="E980" s="2" t="s">
        <v>2670</v>
      </c>
      <c r="H980" s="2">
        <v>3.0</v>
      </c>
      <c r="I980" s="2">
        <v>0.0</v>
      </c>
      <c r="K980" s="8" t="str">
        <f t="shared" si="1"/>
        <v>CALL InsertOrUpdateAtributosProductos ('4252','623','17','VARIEDAD','Chardonnay Caja x 6','3','0');</v>
      </c>
    </row>
    <row r="981">
      <c r="A981" s="2">
        <v>4253.0</v>
      </c>
      <c r="B981" s="2">
        <v>624.0</v>
      </c>
      <c r="C981" s="2">
        <v>17.0</v>
      </c>
      <c r="D981" s="2" t="s">
        <v>1521</v>
      </c>
      <c r="E981" s="2" t="s">
        <v>2668</v>
      </c>
      <c r="H981" s="2">
        <v>1.0</v>
      </c>
      <c r="I981" s="2">
        <v>0.0</v>
      </c>
      <c r="K981" s="8" t="str">
        <f t="shared" si="1"/>
        <v>CALL InsertOrUpdateAtributosProductos ('4253','624','17','VARIEDAD','Malbec Caja x 6','1','0');</v>
      </c>
    </row>
    <row r="982">
      <c r="A982" s="2">
        <v>4254.0</v>
      </c>
      <c r="B982" s="2">
        <v>624.0</v>
      </c>
      <c r="C982" s="2">
        <v>17.0</v>
      </c>
      <c r="D982" s="2" t="s">
        <v>1521</v>
      </c>
      <c r="E982" s="2" t="s">
        <v>2673</v>
      </c>
      <c r="H982" s="2">
        <v>2.0</v>
      </c>
      <c r="I982" s="2">
        <v>0.0</v>
      </c>
      <c r="K982" s="8" t="str">
        <f t="shared" si="1"/>
        <v>CALL InsertOrUpdateAtributosProductos ('4254','624','17','VARIEDAD','Torrontes Caja x 6','2','0');</v>
      </c>
    </row>
    <row r="983">
      <c r="A983" s="2">
        <v>4255.0</v>
      </c>
      <c r="B983" s="2">
        <v>625.0</v>
      </c>
      <c r="C983" s="2">
        <v>17.0</v>
      </c>
      <c r="D983" s="2" t="s">
        <v>1521</v>
      </c>
      <c r="E983" s="2" t="s">
        <v>2662</v>
      </c>
      <c r="H983" s="2">
        <v>1.0</v>
      </c>
      <c r="I983" s="2">
        <v>0.0</v>
      </c>
      <c r="K983" s="8" t="str">
        <f t="shared" si="1"/>
        <v>CALL InsertOrUpdateAtributosProductos ('4255','625','17','VARIEDAD','Cosecha 2018 Caja x 6','1','0');</v>
      </c>
    </row>
    <row r="984">
      <c r="A984" s="2">
        <v>4256.0</v>
      </c>
      <c r="B984" s="2">
        <v>625.0</v>
      </c>
      <c r="C984" s="2">
        <v>17.0</v>
      </c>
      <c r="D984" s="2" t="s">
        <v>1521</v>
      </c>
      <c r="E984" s="2" t="s">
        <v>2663</v>
      </c>
      <c r="H984" s="2">
        <v>2.0</v>
      </c>
      <c r="I984" s="2">
        <v>0.0</v>
      </c>
      <c r="K984" s="8" t="str">
        <f t="shared" si="1"/>
        <v>CALL InsertOrUpdateAtributosProductos ('4256','625','17','VARIEDAD','Cosecha 2019 Caja x 6','2','0');</v>
      </c>
    </row>
    <row r="985">
      <c r="A985" s="2">
        <v>4257.0</v>
      </c>
      <c r="B985" s="2">
        <v>626.0</v>
      </c>
      <c r="C985" s="2">
        <v>17.0</v>
      </c>
      <c r="D985" s="2" t="s">
        <v>1521</v>
      </c>
      <c r="E985" s="2" t="s">
        <v>2663</v>
      </c>
      <c r="H985" s="2">
        <v>1.0</v>
      </c>
      <c r="I985" s="2">
        <v>0.0</v>
      </c>
      <c r="K985" s="8" t="str">
        <f t="shared" si="1"/>
        <v>CALL InsertOrUpdateAtributosProductos ('4257','626','17','VARIEDAD','Cosecha 2019 Caja x 6','1','0');</v>
      </c>
    </row>
    <row r="986">
      <c r="A986" s="2">
        <v>4258.0</v>
      </c>
      <c r="B986" s="2">
        <v>626.0</v>
      </c>
      <c r="C986" s="2">
        <v>17.0</v>
      </c>
      <c r="D986" s="2" t="s">
        <v>1521</v>
      </c>
      <c r="E986" s="2" t="s">
        <v>2674</v>
      </c>
      <c r="H986" s="2">
        <v>2.0</v>
      </c>
      <c r="I986" s="2">
        <v>0.0</v>
      </c>
      <c r="K986" s="8" t="str">
        <f t="shared" si="1"/>
        <v>CALL InsertOrUpdateAtributosProductos ('4258','626','17','VARIEDAD','Cosecha 2020 Caja x 6','2','0');</v>
      </c>
    </row>
    <row r="987">
      <c r="A987" s="2">
        <v>4259.0</v>
      </c>
      <c r="B987" s="2">
        <v>627.0</v>
      </c>
      <c r="C987" s="2">
        <v>17.0</v>
      </c>
      <c r="D987" s="2" t="s">
        <v>1521</v>
      </c>
      <c r="E987" s="2" t="s">
        <v>2668</v>
      </c>
      <c r="H987" s="2">
        <v>1.0</v>
      </c>
      <c r="I987" s="2">
        <v>0.0</v>
      </c>
      <c r="K987" s="8" t="str">
        <f t="shared" si="1"/>
        <v>CALL InsertOrUpdateAtributosProductos ('4259','627','17','VARIEDAD','Malbec Caja x 6','1','0');</v>
      </c>
    </row>
    <row r="988">
      <c r="A988" s="2">
        <v>4260.0</v>
      </c>
      <c r="B988" s="2">
        <v>627.0</v>
      </c>
      <c r="C988" s="2">
        <v>17.0</v>
      </c>
      <c r="D988" s="2" t="s">
        <v>1521</v>
      </c>
      <c r="E988" s="2" t="s">
        <v>2675</v>
      </c>
      <c r="H988" s="2">
        <v>2.0</v>
      </c>
      <c r="I988" s="2">
        <v>0.0</v>
      </c>
      <c r="K988" s="8" t="str">
        <f t="shared" si="1"/>
        <v>CALL InsertOrUpdateAtributosProductos ('4260','627','17','VARIEDAD','Cabernet Malbec Caja x 6','2','0');</v>
      </c>
    </row>
    <row r="989">
      <c r="A989" s="2">
        <v>4261.0</v>
      </c>
      <c r="B989" s="2">
        <v>628.0</v>
      </c>
      <c r="C989" s="2">
        <v>17.0</v>
      </c>
      <c r="D989" s="2" t="s">
        <v>1521</v>
      </c>
      <c r="E989" s="2" t="s">
        <v>2668</v>
      </c>
      <c r="H989" s="2">
        <v>1.0</v>
      </c>
      <c r="I989" s="2">
        <v>0.0</v>
      </c>
      <c r="K989" s="8" t="str">
        <f t="shared" si="1"/>
        <v>CALL InsertOrUpdateAtributosProductos ('4261','628','17','VARIEDAD','Malbec Caja x 6','1','0');</v>
      </c>
    </row>
    <row r="990">
      <c r="A990" s="2">
        <v>4262.0</v>
      </c>
      <c r="B990" s="2">
        <v>628.0</v>
      </c>
      <c r="C990" s="2">
        <v>17.0</v>
      </c>
      <c r="D990" s="2" t="s">
        <v>1521</v>
      </c>
      <c r="E990" s="2" t="s">
        <v>2671</v>
      </c>
      <c r="H990" s="2">
        <v>2.0</v>
      </c>
      <c r="I990" s="2">
        <v>0.0</v>
      </c>
      <c r="K990" s="8" t="str">
        <f t="shared" si="1"/>
        <v>CALL InsertOrUpdateAtributosProductos ('4262','628','17','VARIEDAD','Cabernet Franc Caja x 6','2','0');</v>
      </c>
    </row>
    <row r="991">
      <c r="A991" s="2">
        <v>4263.0</v>
      </c>
      <c r="B991" s="2">
        <v>628.0</v>
      </c>
      <c r="C991" s="2">
        <v>17.0</v>
      </c>
      <c r="D991" s="2" t="s">
        <v>1521</v>
      </c>
      <c r="E991" s="2" t="s">
        <v>2676</v>
      </c>
      <c r="H991" s="2">
        <v>3.0</v>
      </c>
      <c r="I991" s="2">
        <v>0.0</v>
      </c>
      <c r="K991" s="8" t="str">
        <f t="shared" si="1"/>
        <v>CALL InsertOrUpdateAtributosProductos ('4263','628','17','VARIEDAD','Blancs de Blancs Caja x 6','3','0');</v>
      </c>
    </row>
    <row r="992">
      <c r="A992" s="2">
        <v>4264.0</v>
      </c>
      <c r="B992" s="2">
        <v>635.0</v>
      </c>
      <c r="C992" s="2">
        <v>17.0</v>
      </c>
      <c r="D992" s="2" t="s">
        <v>1521</v>
      </c>
      <c r="E992" s="2" t="s">
        <v>2668</v>
      </c>
      <c r="H992" s="2">
        <v>1.0</v>
      </c>
      <c r="I992" s="2">
        <v>0.0</v>
      </c>
      <c r="K992" s="8" t="str">
        <f t="shared" si="1"/>
        <v>CALL InsertOrUpdateAtributosProductos ('4264','635','17','VARIEDAD','Malbec Caja x 6','1','0');</v>
      </c>
    </row>
    <row r="993">
      <c r="A993" s="2">
        <v>4265.0</v>
      </c>
      <c r="B993" s="2">
        <v>635.0</v>
      </c>
      <c r="C993" s="2">
        <v>17.0</v>
      </c>
      <c r="D993" s="2" t="s">
        <v>1521</v>
      </c>
      <c r="E993" s="2" t="s">
        <v>2677</v>
      </c>
      <c r="H993" s="2">
        <v>3.0</v>
      </c>
      <c r="I993" s="2">
        <v>0.0</v>
      </c>
      <c r="K993" s="8" t="str">
        <f t="shared" si="1"/>
        <v>CALL InsertOrUpdateAtributosProductos ('4265','635','17','VARIEDAD','Cabernet Caja x 6','3','0');</v>
      </c>
    </row>
    <row r="994">
      <c r="A994" s="2">
        <v>4266.0</v>
      </c>
      <c r="B994" s="2">
        <v>635.0</v>
      </c>
      <c r="C994" s="2">
        <v>17.0</v>
      </c>
      <c r="D994" s="2" t="s">
        <v>1521</v>
      </c>
      <c r="E994" s="2" t="s">
        <v>2670</v>
      </c>
      <c r="H994" s="2">
        <v>2.0</v>
      </c>
      <c r="I994" s="2">
        <v>0.0</v>
      </c>
      <c r="K994" s="8" t="str">
        <f t="shared" si="1"/>
        <v>CALL InsertOrUpdateAtributosProductos ('4266','635','17','VARIEDAD','Chardonnay Caja x 6','2','0');</v>
      </c>
    </row>
    <row r="995">
      <c r="A995" s="2">
        <v>4267.0</v>
      </c>
      <c r="B995" s="2">
        <v>636.0</v>
      </c>
      <c r="C995" s="2">
        <v>17.0</v>
      </c>
      <c r="D995" s="2" t="s">
        <v>1521</v>
      </c>
      <c r="E995" s="2" t="s">
        <v>2668</v>
      </c>
      <c r="H995" s="2">
        <v>1.0</v>
      </c>
      <c r="I995" s="2">
        <v>0.0</v>
      </c>
      <c r="K995" s="8" t="str">
        <f t="shared" si="1"/>
        <v>CALL InsertOrUpdateAtributosProductos ('4267','636','17','VARIEDAD','Malbec Caja x 6','1','0');</v>
      </c>
    </row>
    <row r="996">
      <c r="A996" s="2">
        <v>4268.0</v>
      </c>
      <c r="B996" s="2">
        <v>636.0</v>
      </c>
      <c r="C996" s="2">
        <v>17.0</v>
      </c>
      <c r="D996" s="2" t="s">
        <v>1521</v>
      </c>
      <c r="E996" s="2" t="s">
        <v>2677</v>
      </c>
      <c r="H996" s="2">
        <v>2.0</v>
      </c>
      <c r="I996" s="2">
        <v>0.0</v>
      </c>
      <c r="K996" s="8" t="str">
        <f t="shared" si="1"/>
        <v>CALL InsertOrUpdateAtributosProductos ('4268','636','17','VARIEDAD','Cabernet Caja x 6','2','0');</v>
      </c>
    </row>
    <row r="997">
      <c r="A997" s="2">
        <v>4269.0</v>
      </c>
      <c r="B997" s="2">
        <v>636.0</v>
      </c>
      <c r="C997" s="2">
        <v>17.0</v>
      </c>
      <c r="D997" s="2" t="s">
        <v>1521</v>
      </c>
      <c r="E997" s="2" t="s">
        <v>2678</v>
      </c>
      <c r="H997" s="2">
        <v>3.0</v>
      </c>
      <c r="I997" s="2">
        <v>0.0</v>
      </c>
      <c r="K997" s="8" t="str">
        <f t="shared" si="1"/>
        <v>CALL InsertOrUpdateAtributosProductos ('4269','636','17','VARIEDAD','Sauvignon Caja x 6','3','0');</v>
      </c>
    </row>
    <row r="998">
      <c r="A998" s="2">
        <v>4270.0</v>
      </c>
      <c r="B998" s="2">
        <v>637.0</v>
      </c>
      <c r="C998" s="2">
        <v>17.0</v>
      </c>
      <c r="D998" s="2" t="s">
        <v>1521</v>
      </c>
      <c r="E998" s="2" t="s">
        <v>2677</v>
      </c>
      <c r="H998" s="2">
        <v>2.0</v>
      </c>
      <c r="I998" s="2">
        <v>0.0</v>
      </c>
      <c r="K998" s="8" t="str">
        <f t="shared" si="1"/>
        <v>CALL InsertOrUpdateAtributosProductos ('4270','637','17','VARIEDAD','Cabernet Caja x 6','2','0');</v>
      </c>
    </row>
    <row r="999">
      <c r="A999" s="2">
        <v>4271.0</v>
      </c>
      <c r="B999" s="2">
        <v>637.0</v>
      </c>
      <c r="C999" s="2">
        <v>17.0</v>
      </c>
      <c r="D999" s="2" t="s">
        <v>1521</v>
      </c>
      <c r="E999" s="2" t="s">
        <v>2670</v>
      </c>
      <c r="H999" s="2">
        <v>3.0</v>
      </c>
      <c r="I999" s="2">
        <v>0.0</v>
      </c>
      <c r="K999" s="8" t="str">
        <f t="shared" si="1"/>
        <v>CALL InsertOrUpdateAtributosProductos ('4271','637','17','VARIEDAD','Chardonnay Caja x 6','3','0');</v>
      </c>
    </row>
    <row r="1000">
      <c r="A1000" s="2">
        <v>4272.0</v>
      </c>
      <c r="B1000" s="2">
        <v>637.0</v>
      </c>
      <c r="C1000" s="2">
        <v>17.0</v>
      </c>
      <c r="D1000" s="2" t="s">
        <v>1521</v>
      </c>
      <c r="E1000" s="2" t="s">
        <v>2668</v>
      </c>
      <c r="H1000" s="2">
        <v>1.0</v>
      </c>
      <c r="I1000" s="2">
        <v>0.0</v>
      </c>
      <c r="K1000" s="8" t="str">
        <f t="shared" si="1"/>
        <v>CALL InsertOrUpdateAtributosProductos ('4272','637','17','VARIEDAD','Malbec Caja x 6','1','0');</v>
      </c>
    </row>
    <row r="1001">
      <c r="A1001" s="2">
        <v>4273.0</v>
      </c>
      <c r="B1001" s="2">
        <v>639.0</v>
      </c>
      <c r="C1001" s="2">
        <v>17.0</v>
      </c>
      <c r="D1001" s="2" t="s">
        <v>1521</v>
      </c>
      <c r="E1001" s="2" t="s">
        <v>2668</v>
      </c>
      <c r="H1001" s="2">
        <v>1.0</v>
      </c>
      <c r="I1001" s="2">
        <v>0.0</v>
      </c>
      <c r="K1001" s="8" t="str">
        <f t="shared" si="1"/>
        <v>CALL InsertOrUpdateAtributosProductos ('4273','639','17','VARIEDAD','Malbec Caja x 6','1','0');</v>
      </c>
    </row>
    <row r="1002">
      <c r="A1002" s="2">
        <v>4274.0</v>
      </c>
      <c r="B1002" s="2">
        <v>639.0</v>
      </c>
      <c r="C1002" s="2">
        <v>17.0</v>
      </c>
      <c r="D1002" s="2" t="s">
        <v>1521</v>
      </c>
      <c r="E1002" s="2" t="s">
        <v>2670</v>
      </c>
      <c r="H1002" s="2">
        <v>2.0</v>
      </c>
      <c r="I1002" s="2">
        <v>0.0</v>
      </c>
      <c r="K1002" s="8" t="str">
        <f t="shared" si="1"/>
        <v>CALL InsertOrUpdateAtributosProductos ('4274','639','17','VARIEDAD','Chardonnay Caja x 6','2','0');</v>
      </c>
    </row>
    <row r="1003">
      <c r="A1003" s="2">
        <v>4275.0</v>
      </c>
      <c r="B1003" s="2">
        <v>640.0</v>
      </c>
      <c r="C1003" s="2">
        <v>17.0</v>
      </c>
      <c r="D1003" s="2" t="s">
        <v>1521</v>
      </c>
      <c r="E1003" s="2" t="s">
        <v>2679</v>
      </c>
      <c r="H1003" s="2">
        <v>2.0</v>
      </c>
      <c r="I1003" s="2">
        <v>0.0</v>
      </c>
      <c r="K1003" s="8" t="str">
        <f t="shared" si="1"/>
        <v>CALL InsertOrUpdateAtributosProductos ('4275','640','17','VARIEDAD','Nº2 Merlot','2','0');</v>
      </c>
    </row>
    <row r="1004">
      <c r="A1004" s="2">
        <v>4276.0</v>
      </c>
      <c r="B1004" s="2">
        <v>640.0</v>
      </c>
      <c r="C1004" s="2">
        <v>17.0</v>
      </c>
      <c r="D1004" s="2" t="s">
        <v>1521</v>
      </c>
      <c r="E1004" s="2" t="s">
        <v>2680</v>
      </c>
      <c r="H1004" s="2">
        <v>3.0</v>
      </c>
      <c r="I1004" s="2">
        <v>0.0</v>
      </c>
      <c r="K1004" s="8" t="str">
        <f t="shared" si="1"/>
        <v>CALL InsertOrUpdateAtributosProductos ('4276','640','17','VARIEDAD','Nº3 Blend Cabernet Sauvignon y Syrah','3','0');</v>
      </c>
    </row>
    <row r="1005">
      <c r="A1005" s="2">
        <v>4277.0</v>
      </c>
      <c r="B1005" s="2">
        <v>640.0</v>
      </c>
      <c r="C1005" s="2">
        <v>17.0</v>
      </c>
      <c r="D1005" s="2" t="s">
        <v>1521</v>
      </c>
      <c r="E1005" s="2" t="s">
        <v>2681</v>
      </c>
      <c r="H1005" s="2">
        <v>4.0</v>
      </c>
      <c r="I1005" s="2">
        <v>0.0</v>
      </c>
      <c r="K1005" s="8" t="str">
        <f t="shared" si="1"/>
        <v>CALL InsertOrUpdateAtributosProductos ('4277','640','17','VARIEDAD','Malbec','4','0');</v>
      </c>
    </row>
    <row r="1006">
      <c r="A1006" s="2">
        <v>4278.0</v>
      </c>
      <c r="B1006" s="2">
        <v>640.0</v>
      </c>
      <c r="C1006" s="2">
        <v>17.0</v>
      </c>
      <c r="D1006" s="2" t="s">
        <v>1521</v>
      </c>
      <c r="E1006" s="2" t="s">
        <v>2682</v>
      </c>
      <c r="H1006" s="2">
        <v>1.0</v>
      </c>
      <c r="I1006" s="2">
        <v>0.0</v>
      </c>
      <c r="K1006" s="8" t="str">
        <f t="shared" si="1"/>
        <v>CALL InsertOrUpdateAtributosProductos ('4278','640','17','VARIEDAD','Nº1 Blend Bonarda, malbec','1','0');</v>
      </c>
    </row>
    <row r="1007">
      <c r="A1007" s="2">
        <v>4279.0</v>
      </c>
      <c r="B1007" s="2">
        <v>641.0</v>
      </c>
      <c r="C1007" s="2">
        <v>17.0</v>
      </c>
      <c r="D1007" s="2" t="s">
        <v>1521</v>
      </c>
      <c r="E1007" s="2" t="s">
        <v>2677</v>
      </c>
      <c r="H1007" s="2">
        <v>1.0</v>
      </c>
      <c r="I1007" s="2">
        <v>0.0</v>
      </c>
      <c r="K1007" s="8" t="str">
        <f t="shared" si="1"/>
        <v>CALL InsertOrUpdateAtributosProductos ('4279','641','17','VARIEDAD','Cabernet Caja x 6','1','0');</v>
      </c>
    </row>
    <row r="1008">
      <c r="A1008" s="2">
        <v>4280.0</v>
      </c>
      <c r="B1008" s="2">
        <v>641.0</v>
      </c>
      <c r="C1008" s="2">
        <v>17.0</v>
      </c>
      <c r="D1008" s="2" t="s">
        <v>1521</v>
      </c>
      <c r="E1008" s="2" t="s">
        <v>2668</v>
      </c>
      <c r="H1008" s="2">
        <v>1.0</v>
      </c>
      <c r="I1008" s="2">
        <v>0.0</v>
      </c>
      <c r="K1008" s="8" t="str">
        <f t="shared" si="1"/>
        <v>CALL InsertOrUpdateAtributosProductos ('4280','641','17','VARIEDAD','Malbec Caja x 6','1','0');</v>
      </c>
    </row>
    <row r="1009">
      <c r="A1009" s="2">
        <v>4281.0</v>
      </c>
      <c r="B1009" s="2">
        <v>647.0</v>
      </c>
      <c r="C1009" s="2">
        <v>17.0</v>
      </c>
      <c r="D1009" s="2" t="s">
        <v>1521</v>
      </c>
      <c r="E1009" s="2" t="s">
        <v>2668</v>
      </c>
      <c r="H1009" s="2">
        <v>1.0</v>
      </c>
      <c r="I1009" s="2">
        <v>0.0</v>
      </c>
      <c r="K1009" s="8" t="str">
        <f t="shared" si="1"/>
        <v>CALL InsertOrUpdateAtributosProductos ('4281','647','17','VARIEDAD','Malbec Caja x 6','1','0');</v>
      </c>
    </row>
    <row r="1010">
      <c r="A1010" s="2">
        <v>4282.0</v>
      </c>
      <c r="B1010" s="2">
        <v>647.0</v>
      </c>
      <c r="C1010" s="2">
        <v>17.0</v>
      </c>
      <c r="D1010" s="2" t="s">
        <v>1521</v>
      </c>
      <c r="E1010" s="2" t="s">
        <v>2669</v>
      </c>
      <c r="H1010" s="2">
        <v>2.0</v>
      </c>
      <c r="I1010" s="2">
        <v>0.0</v>
      </c>
      <c r="K1010" s="8" t="str">
        <f t="shared" si="1"/>
        <v>CALL InsertOrUpdateAtributosProductos ('4282','647','17','VARIEDAD','Cabernet Sauvignon Caja x 6','2','0');</v>
      </c>
    </row>
    <row r="1011">
      <c r="A1011" s="2">
        <v>4283.0</v>
      </c>
      <c r="B1011" s="2">
        <v>648.0</v>
      </c>
      <c r="C1011" s="2">
        <v>17.0</v>
      </c>
      <c r="D1011" s="2" t="s">
        <v>1521</v>
      </c>
      <c r="E1011" s="2" t="s">
        <v>2683</v>
      </c>
      <c r="H1011" s="2">
        <v>1.0</v>
      </c>
      <c r="I1011" s="2">
        <v>0.0</v>
      </c>
      <c r="K1011" s="8" t="str">
        <f t="shared" si="1"/>
        <v>CALL InsertOrUpdateAtributosProductos ('4283','648','17','VARIEDAD','Chenin Dulce Caja x 6','1','0');</v>
      </c>
    </row>
    <row r="1012">
      <c r="A1012" s="2">
        <v>4284.0</v>
      </c>
      <c r="B1012" s="2">
        <v>648.0</v>
      </c>
      <c r="C1012" s="2">
        <v>17.0</v>
      </c>
      <c r="D1012" s="2" t="s">
        <v>1521</v>
      </c>
      <c r="E1012" s="2" t="s">
        <v>2684</v>
      </c>
      <c r="H1012" s="2">
        <v>3.0</v>
      </c>
      <c r="I1012" s="2">
        <v>0.0</v>
      </c>
      <c r="K1012" s="8" t="str">
        <f t="shared" si="1"/>
        <v>CALL InsertOrUpdateAtributosProductos ('4284','648','17','VARIEDAD','Dulce tinto Caja x 6','3','0');</v>
      </c>
    </row>
    <row r="1013">
      <c r="A1013" s="2">
        <v>4285.0</v>
      </c>
      <c r="B1013" s="2">
        <v>648.0</v>
      </c>
      <c r="C1013" s="2">
        <v>17.0</v>
      </c>
      <c r="D1013" s="2" t="s">
        <v>1521</v>
      </c>
      <c r="E1013" s="2" t="s">
        <v>2668</v>
      </c>
      <c r="H1013" s="2">
        <v>2.0</v>
      </c>
      <c r="I1013" s="2">
        <v>0.0</v>
      </c>
      <c r="K1013" s="8" t="str">
        <f t="shared" si="1"/>
        <v>CALL InsertOrUpdateAtributosProductos ('4285','648','17','VARIEDAD','Malbec Caja x 6','2','0');</v>
      </c>
    </row>
    <row r="1014">
      <c r="A1014" s="2">
        <v>4286.0</v>
      </c>
      <c r="B1014" s="2">
        <v>649.0</v>
      </c>
      <c r="C1014" s="2">
        <v>17.0</v>
      </c>
      <c r="D1014" s="2" t="s">
        <v>1521</v>
      </c>
      <c r="E1014" s="2" t="s">
        <v>2685</v>
      </c>
      <c r="H1014" s="2">
        <v>1.0</v>
      </c>
      <c r="I1014" s="2">
        <v>0.0</v>
      </c>
      <c r="K1014" s="8" t="str">
        <f t="shared" si="1"/>
        <v>CALL InsertOrUpdateAtributosProductos ('4286','649','17','VARIEDAD','Clásico tinto 700 ml Caja x 6','1','0');</v>
      </c>
    </row>
    <row r="1015">
      <c r="A1015" s="2">
        <v>4287.0</v>
      </c>
      <c r="B1015" s="2">
        <v>649.0</v>
      </c>
      <c r="C1015" s="2">
        <v>17.0</v>
      </c>
      <c r="D1015" s="2" t="s">
        <v>1521</v>
      </c>
      <c r="E1015" s="2" t="s">
        <v>2686</v>
      </c>
      <c r="H1015" s="2">
        <v>2.0</v>
      </c>
      <c r="I1015" s="2">
        <v>0.0</v>
      </c>
      <c r="K1015" s="8" t="str">
        <f t="shared" si="1"/>
        <v>CALL InsertOrUpdateAtributosProductos ('4287','649','17','VARIEDAD','Clásico tinto 375 ml Caja x 6','2','0');</v>
      </c>
    </row>
    <row r="1016">
      <c r="A1016" s="2">
        <v>4288.0</v>
      </c>
      <c r="B1016" s="2">
        <v>650.0</v>
      </c>
      <c r="C1016" s="2">
        <v>17.0</v>
      </c>
      <c r="D1016" s="2" t="s">
        <v>1521</v>
      </c>
      <c r="E1016" s="2" t="s">
        <v>2687</v>
      </c>
      <c r="H1016" s="2">
        <v>1.0</v>
      </c>
      <c r="I1016" s="2">
        <v>0.0</v>
      </c>
      <c r="K1016" s="8" t="str">
        <f t="shared" si="1"/>
        <v>CALL InsertOrUpdateAtributosProductos ('4288','650','17','VARIEDAD','Tinto Caja x 6','1','0');</v>
      </c>
    </row>
    <row r="1017">
      <c r="A1017" s="2">
        <v>4289.0</v>
      </c>
      <c r="B1017" s="2">
        <v>650.0</v>
      </c>
      <c r="C1017" s="2">
        <v>17.0</v>
      </c>
      <c r="D1017" s="2" t="s">
        <v>1521</v>
      </c>
      <c r="E1017" s="2" t="s">
        <v>2668</v>
      </c>
      <c r="H1017" s="2">
        <v>2.0</v>
      </c>
      <c r="I1017" s="2">
        <v>0.0</v>
      </c>
      <c r="K1017" s="8" t="str">
        <f t="shared" si="1"/>
        <v>CALL InsertOrUpdateAtributosProductos ('4289','650','17','VARIEDAD','Malbec Caja x 6','2','0');</v>
      </c>
    </row>
    <row r="1018">
      <c r="A1018" s="2">
        <v>4290.0</v>
      </c>
      <c r="B1018" s="2">
        <v>650.0</v>
      </c>
      <c r="C1018" s="2">
        <v>17.0</v>
      </c>
      <c r="D1018" s="2" t="s">
        <v>1521</v>
      </c>
      <c r="E1018" s="2" t="s">
        <v>2688</v>
      </c>
      <c r="H1018" s="2">
        <v>3.0</v>
      </c>
      <c r="I1018" s="2">
        <v>0.0</v>
      </c>
      <c r="K1018" s="8" t="str">
        <f t="shared" si="1"/>
        <v>CALL InsertOrUpdateAtributosProductos ('4290','650','17','VARIEDAD','Blanco Caja x 6','3','0');</v>
      </c>
    </row>
    <row r="1019">
      <c r="A1019" s="2">
        <v>4291.0</v>
      </c>
      <c r="B1019" s="2">
        <v>651.0</v>
      </c>
      <c r="C1019" s="2">
        <v>17.0</v>
      </c>
      <c r="D1019" s="2" t="s">
        <v>1521</v>
      </c>
      <c r="E1019" s="2" t="s">
        <v>2689</v>
      </c>
      <c r="H1019" s="2">
        <v>1.0</v>
      </c>
      <c r="I1019" s="2">
        <v>0.0</v>
      </c>
      <c r="K1019" s="8" t="str">
        <f t="shared" si="1"/>
        <v>CALL InsertOrUpdateAtributosProductos ('4291','651','17','VARIEDAD','Tinto 700 ml Caja x 6','1','0');</v>
      </c>
    </row>
    <row r="1020">
      <c r="A1020" s="2">
        <v>4292.0</v>
      </c>
      <c r="B1020" s="2">
        <v>651.0</v>
      </c>
      <c r="C1020" s="2">
        <v>17.0</v>
      </c>
      <c r="D1020" s="2" t="s">
        <v>1521</v>
      </c>
      <c r="E1020" s="2" t="s">
        <v>2690</v>
      </c>
      <c r="H1020" s="2">
        <v>2.0</v>
      </c>
      <c r="I1020" s="2">
        <v>0.0</v>
      </c>
      <c r="K1020" s="8" t="str">
        <f t="shared" si="1"/>
        <v>CALL InsertOrUpdateAtributosProductos ('4292','651','17','VARIEDAD','Blanco 700 Caja x 6','2','0');</v>
      </c>
    </row>
    <row r="1021">
      <c r="A1021" s="2">
        <v>4293.0</v>
      </c>
      <c r="B1021" s="2">
        <v>651.0</v>
      </c>
      <c r="C1021" s="2">
        <v>17.0</v>
      </c>
      <c r="D1021" s="2" t="s">
        <v>1521</v>
      </c>
      <c r="E1021" s="2" t="s">
        <v>2691</v>
      </c>
      <c r="H1021" s="2">
        <v>3.0</v>
      </c>
      <c r="I1021" s="2">
        <v>0.0</v>
      </c>
      <c r="K1021" s="8" t="str">
        <f t="shared" si="1"/>
        <v>CALL InsertOrUpdateAtributosProductos ('4293','651','17','VARIEDAD','Tinto 375 ml Caja x 6','3','0');</v>
      </c>
    </row>
    <row r="1022">
      <c r="A1022" s="2">
        <v>4294.0</v>
      </c>
      <c r="B1022" s="2">
        <v>652.0</v>
      </c>
      <c r="C1022" s="2">
        <v>17.0</v>
      </c>
      <c r="D1022" s="2" t="s">
        <v>1521</v>
      </c>
      <c r="E1022" s="2" t="s">
        <v>2692</v>
      </c>
      <c r="H1022" s="2">
        <v>2.0</v>
      </c>
      <c r="I1022" s="2">
        <v>0.0</v>
      </c>
      <c r="K1022" s="8" t="str">
        <f t="shared" si="1"/>
        <v>CALL InsertOrUpdateAtributosProductos ('4294','652','17','VARIEDAD','Mlabec 375 ml Caja x 6','2','0');</v>
      </c>
    </row>
    <row r="1023">
      <c r="A1023" s="2">
        <v>4295.0</v>
      </c>
      <c r="B1023" s="2">
        <v>652.0</v>
      </c>
      <c r="C1023" s="2">
        <v>17.0</v>
      </c>
      <c r="D1023" s="2" t="s">
        <v>1521</v>
      </c>
      <c r="E1023" s="2" t="s">
        <v>2693</v>
      </c>
      <c r="H1023" s="2">
        <v>3.0</v>
      </c>
      <c r="I1023" s="2">
        <v>0.0</v>
      </c>
      <c r="K1023" s="8" t="str">
        <f t="shared" si="1"/>
        <v>CALL InsertOrUpdateAtributosProductos ('4295','652','17','VARIEDAD','Blanco 750 ml Caja x 6','3','0');</v>
      </c>
    </row>
    <row r="1024">
      <c r="A1024" s="2">
        <v>4296.0</v>
      </c>
      <c r="B1024" s="2">
        <v>652.0</v>
      </c>
      <c r="C1024" s="2">
        <v>17.0</v>
      </c>
      <c r="D1024" s="2" t="s">
        <v>1521</v>
      </c>
      <c r="E1024" s="2" t="s">
        <v>2694</v>
      </c>
      <c r="H1024" s="2">
        <v>1.0</v>
      </c>
      <c r="I1024" s="2">
        <v>0.0</v>
      </c>
      <c r="K1024" s="8" t="str">
        <f t="shared" si="1"/>
        <v>CALL InsertOrUpdateAtributosProductos ('4296','652','17','VARIEDAD','Malbec 750 ml Caja x 6','1','0');</v>
      </c>
    </row>
    <row r="1025">
      <c r="A1025" s="2">
        <v>4297.0</v>
      </c>
      <c r="B1025" s="2">
        <v>653.0</v>
      </c>
      <c r="C1025" s="2">
        <v>16.0</v>
      </c>
      <c r="D1025" s="2" t="s">
        <v>1331</v>
      </c>
      <c r="E1025" s="2" t="s">
        <v>2695</v>
      </c>
      <c r="H1025" s="2">
        <v>1.0</v>
      </c>
      <c r="I1025" s="2">
        <v>0.0</v>
      </c>
      <c r="K1025" s="8" t="str">
        <f t="shared" si="1"/>
        <v>CALL InsertOrUpdateAtributosProductos ('4297','653','16','FORMATO','250 ml Pack 4','1','0');</v>
      </c>
    </row>
    <row r="1026">
      <c r="A1026" s="2">
        <v>4298.0</v>
      </c>
      <c r="B1026" s="2">
        <v>653.0</v>
      </c>
      <c r="C1026" s="2">
        <v>16.0</v>
      </c>
      <c r="D1026" s="2" t="s">
        <v>1331</v>
      </c>
      <c r="E1026" s="2" t="s">
        <v>2696</v>
      </c>
      <c r="H1026" s="2">
        <v>2.0</v>
      </c>
      <c r="I1026" s="2">
        <v>0.0</v>
      </c>
      <c r="K1026" s="8" t="str">
        <f t="shared" si="1"/>
        <v>CALL InsertOrUpdateAtributosProductos ('4298','653','16','FORMATO','250 ml Pack 24','2','0');</v>
      </c>
    </row>
    <row r="1027">
      <c r="A1027" s="2">
        <v>4299.0</v>
      </c>
      <c r="B1027" s="2">
        <v>654.0</v>
      </c>
      <c r="C1027" s="2">
        <v>16.0</v>
      </c>
      <c r="D1027" s="2" t="s">
        <v>1331</v>
      </c>
      <c r="E1027" s="2" t="s">
        <v>2696</v>
      </c>
      <c r="H1027" s="2">
        <v>1.0</v>
      </c>
      <c r="I1027" s="2">
        <v>0.0</v>
      </c>
      <c r="K1027" s="8" t="str">
        <f t="shared" si="1"/>
        <v>CALL InsertOrUpdateAtributosProductos ('4299','654','16','FORMATO','250 ml Pack 24','1','0');</v>
      </c>
    </row>
    <row r="1028">
      <c r="A1028" s="2">
        <v>4300.0</v>
      </c>
      <c r="B1028" s="2">
        <v>654.0</v>
      </c>
      <c r="C1028" s="2">
        <v>16.0</v>
      </c>
      <c r="D1028" s="2" t="s">
        <v>1331</v>
      </c>
      <c r="E1028" s="2" t="s">
        <v>2696</v>
      </c>
      <c r="H1028" s="2">
        <v>2.0</v>
      </c>
      <c r="I1028" s="2">
        <v>0.0</v>
      </c>
      <c r="K1028" s="8" t="str">
        <f t="shared" si="1"/>
        <v>CALL InsertOrUpdateAtributosProductos ('4300','654','16','FORMATO','250 ml Pack 24','2','0');</v>
      </c>
    </row>
    <row r="1029">
      <c r="A1029" s="2">
        <v>4301.0</v>
      </c>
      <c r="B1029" s="2">
        <v>661.0</v>
      </c>
      <c r="C1029" s="2">
        <v>18.0</v>
      </c>
      <c r="D1029" s="2" t="s">
        <v>1648</v>
      </c>
      <c r="E1029" s="2" t="s">
        <v>2697</v>
      </c>
      <c r="H1029" s="2">
        <v>1.0</v>
      </c>
      <c r="I1029" s="2">
        <v>0.0</v>
      </c>
      <c r="K1029" s="8" t="str">
        <f t="shared" si="1"/>
        <v>CALL InsertOrUpdateAtributosProductos ('4301','661','18','SABOR','Blue Curacao','1','0');</v>
      </c>
    </row>
    <row r="1030">
      <c r="A1030" s="2">
        <v>4302.0</v>
      </c>
      <c r="B1030" s="2">
        <v>661.0</v>
      </c>
      <c r="C1030" s="2">
        <v>18.0</v>
      </c>
      <c r="D1030" s="2" t="s">
        <v>1648</v>
      </c>
      <c r="E1030" s="2" t="s">
        <v>2698</v>
      </c>
      <c r="H1030" s="2">
        <v>2.0</v>
      </c>
      <c r="I1030" s="2">
        <v>0.0</v>
      </c>
      <c r="K1030" s="8" t="str">
        <f t="shared" si="1"/>
        <v>CALL InsertOrUpdateAtributosProductos ('4302','661','18','SABOR','Cusenier Chocolate','2','0');</v>
      </c>
    </row>
    <row r="1031">
      <c r="A1031" s="2">
        <v>4303.0</v>
      </c>
      <c r="B1031" s="2">
        <v>661.0</v>
      </c>
      <c r="C1031" s="2">
        <v>18.0</v>
      </c>
      <c r="D1031" s="2" t="s">
        <v>1648</v>
      </c>
      <c r="E1031" s="2" t="s">
        <v>2699</v>
      </c>
      <c r="H1031" s="2">
        <v>3.0</v>
      </c>
      <c r="I1031" s="2">
        <v>0.0</v>
      </c>
      <c r="K1031" s="8" t="str">
        <f t="shared" si="1"/>
        <v>CALL InsertOrUpdateAtributosProductos ('4303','661','18','SABOR','Dulce de leche','3','0');</v>
      </c>
    </row>
    <row r="1032">
      <c r="A1032" s="2">
        <v>4304.0</v>
      </c>
      <c r="B1032" s="2">
        <v>661.0</v>
      </c>
      <c r="C1032" s="2">
        <v>18.0</v>
      </c>
      <c r="D1032" s="2" t="s">
        <v>1648</v>
      </c>
      <c r="E1032" s="2" t="s">
        <v>2700</v>
      </c>
      <c r="H1032" s="2">
        <v>4.0</v>
      </c>
      <c r="I1032" s="2">
        <v>0.0</v>
      </c>
      <c r="K1032" s="8" t="str">
        <f t="shared" si="1"/>
        <v>CALL InsertOrUpdateAtributosProductos ('4304','661','18','SABOR','Durazno','4','0');</v>
      </c>
    </row>
    <row r="1033">
      <c r="A1033" s="2">
        <v>4305.0</v>
      </c>
      <c r="B1033" s="2">
        <v>661.0</v>
      </c>
      <c r="C1033" s="2">
        <v>18.0</v>
      </c>
      <c r="D1033" s="2" t="s">
        <v>1648</v>
      </c>
      <c r="E1033" s="2" t="s">
        <v>2701</v>
      </c>
      <c r="H1033" s="2">
        <v>5.0</v>
      </c>
      <c r="I1033" s="2">
        <v>0.0</v>
      </c>
      <c r="K1033" s="8" t="str">
        <f t="shared" si="1"/>
        <v>CALL InsertOrUpdateAtributosProductos ('4305','661','18','SABOR','Frutilla','5','0');</v>
      </c>
    </row>
    <row r="1034">
      <c r="A1034" s="2">
        <v>4306.0</v>
      </c>
      <c r="B1034" s="2">
        <v>661.0</v>
      </c>
      <c r="C1034" s="2">
        <v>18.0</v>
      </c>
      <c r="D1034" s="2" t="s">
        <v>1648</v>
      </c>
      <c r="E1034" s="2" t="s">
        <v>2702</v>
      </c>
      <c r="H1034" s="2">
        <v>6.0</v>
      </c>
      <c r="I1034" s="2">
        <v>0.0</v>
      </c>
      <c r="K1034" s="8" t="str">
        <f t="shared" si="1"/>
        <v>CALL InsertOrUpdateAtributosProductos ('4306','661','18','SABOR','Huevo','6','0');</v>
      </c>
    </row>
    <row r="1035">
      <c r="A1035" s="2">
        <v>4307.0</v>
      </c>
      <c r="B1035" s="2">
        <v>661.0</v>
      </c>
      <c r="C1035" s="2">
        <v>18.0</v>
      </c>
      <c r="D1035" s="2" t="s">
        <v>1648</v>
      </c>
      <c r="E1035" s="2" t="s">
        <v>2703</v>
      </c>
      <c r="H1035" s="2">
        <v>7.0</v>
      </c>
      <c r="I1035" s="2">
        <v>0.0</v>
      </c>
      <c r="K1035" s="8" t="str">
        <f t="shared" si="1"/>
        <v>CALL InsertOrUpdateAtributosProductos ('4307','661','18','SABOR','Melón','7','0');</v>
      </c>
    </row>
    <row r="1036">
      <c r="A1036" s="2">
        <v>4308.0</v>
      </c>
      <c r="B1036" s="2">
        <v>661.0</v>
      </c>
      <c r="C1036" s="2">
        <v>18.0</v>
      </c>
      <c r="D1036" s="2" t="s">
        <v>1648</v>
      </c>
      <c r="E1036" s="2" t="s">
        <v>2704</v>
      </c>
      <c r="H1036" s="2">
        <v>8.0</v>
      </c>
      <c r="I1036" s="2">
        <v>0.0</v>
      </c>
      <c r="K1036" s="8" t="str">
        <f t="shared" si="1"/>
        <v>CALL InsertOrUpdateAtributosProductos ('4308','661','18','SABOR','Menta','8','0');</v>
      </c>
    </row>
    <row r="1037">
      <c r="A1037" s="2">
        <v>4309.0</v>
      </c>
      <c r="B1037" s="2">
        <v>662.0</v>
      </c>
      <c r="C1037" s="2">
        <v>16.0</v>
      </c>
      <c r="D1037" s="2" t="s">
        <v>1331</v>
      </c>
      <c r="E1037" s="2" t="s">
        <v>2705</v>
      </c>
      <c r="H1037" s="2">
        <v>1.0</v>
      </c>
      <c r="I1037" s="2">
        <v>0.0</v>
      </c>
      <c r="K1037" s="8" t="str">
        <f t="shared" si="1"/>
        <v>CALL InsertOrUpdateAtributosProductos ('4309','662','16','FORMATO','350 ml','1','0');</v>
      </c>
    </row>
    <row r="1038">
      <c r="A1038" s="2">
        <v>4310.0</v>
      </c>
      <c r="B1038" s="2">
        <v>662.0</v>
      </c>
      <c r="C1038" s="2">
        <v>16.0</v>
      </c>
      <c r="D1038" s="2" t="s">
        <v>1331</v>
      </c>
      <c r="E1038" s="2" t="s">
        <v>2706</v>
      </c>
      <c r="H1038" s="2">
        <v>2.0</v>
      </c>
      <c r="I1038" s="2">
        <v>0.0</v>
      </c>
      <c r="K1038" s="8" t="str">
        <f t="shared" si="1"/>
        <v>CALL InsertOrUpdateAtributosProductos ('4310','662','16','FORMATO','700 ml','2','0');</v>
      </c>
    </row>
    <row r="1039">
      <c r="A1039" s="2">
        <v>4311.0</v>
      </c>
      <c r="B1039" s="2">
        <v>662.0</v>
      </c>
      <c r="C1039" s="2">
        <v>16.0</v>
      </c>
      <c r="D1039" s="2" t="s">
        <v>1331</v>
      </c>
      <c r="E1039" s="2" t="s">
        <v>2707</v>
      </c>
      <c r="H1039" s="2">
        <v>3.0</v>
      </c>
      <c r="I1039" s="2">
        <v>0.0</v>
      </c>
      <c r="K1039" s="8" t="str">
        <f t="shared" si="1"/>
        <v>CALL InsertOrUpdateAtributosProductos ('4311','662','16','FORMATO','1750 ml','3','0');</v>
      </c>
    </row>
    <row r="1040">
      <c r="A1040" s="2">
        <v>4312.0</v>
      </c>
      <c r="B1040" s="2">
        <v>665.0</v>
      </c>
      <c r="C1040" s="2">
        <v>18.0</v>
      </c>
      <c r="D1040" s="2" t="s">
        <v>1648</v>
      </c>
      <c r="E1040" s="2" t="s">
        <v>2708</v>
      </c>
      <c r="H1040" s="2">
        <v>1.0</v>
      </c>
      <c r="I1040" s="2">
        <v>0.0</v>
      </c>
      <c r="K1040" s="8" t="str">
        <f t="shared" si="1"/>
        <v>CALL InsertOrUpdateAtributosProductos ('4312','665','18','SABOR','Clásico','1','0');</v>
      </c>
    </row>
    <row r="1041">
      <c r="A1041" s="2">
        <v>4313.0</v>
      </c>
      <c r="B1041" s="2">
        <v>665.0</v>
      </c>
      <c r="C1041" s="2">
        <v>18.0</v>
      </c>
      <c r="D1041" s="2" t="s">
        <v>1648</v>
      </c>
      <c r="E1041" s="2" t="s">
        <v>2709</v>
      </c>
      <c r="H1041" s="2">
        <v>2.0</v>
      </c>
      <c r="I1041" s="2">
        <v>0.0</v>
      </c>
      <c r="K1041" s="8" t="str">
        <f t="shared" si="1"/>
        <v>CALL InsertOrUpdateAtributosProductos ('4313','665','18','SABOR','Cream','2','0');</v>
      </c>
    </row>
    <row r="1042">
      <c r="A1042" s="2">
        <v>4314.0</v>
      </c>
      <c r="B1042" s="2">
        <v>693.0</v>
      </c>
      <c r="C1042" s="2">
        <v>18.0</v>
      </c>
      <c r="D1042" s="2" t="s">
        <v>1648</v>
      </c>
      <c r="E1042" s="2" t="s">
        <v>2710</v>
      </c>
      <c r="H1042" s="2">
        <v>1.0</v>
      </c>
      <c r="I1042" s="2">
        <v>0.0</v>
      </c>
      <c r="K1042" s="8" t="str">
        <f t="shared" si="1"/>
        <v>CALL InsertOrUpdateAtributosProductos ('4314','693','18','SABOR','Apeach','1','0');</v>
      </c>
    </row>
    <row r="1043">
      <c r="A1043" s="2">
        <v>4315.0</v>
      </c>
      <c r="B1043" s="2">
        <v>693.0</v>
      </c>
      <c r="C1043" s="2">
        <v>18.0</v>
      </c>
      <c r="D1043" s="2" t="s">
        <v>1648</v>
      </c>
      <c r="E1043" s="2" t="s">
        <v>2711</v>
      </c>
      <c r="H1043" s="2">
        <v>2.0</v>
      </c>
      <c r="I1043" s="2">
        <v>0.0</v>
      </c>
      <c r="K1043" s="8" t="str">
        <f t="shared" si="1"/>
        <v>CALL InsertOrUpdateAtributosProductos ('4315','693','18','SABOR','Apple','2','0');</v>
      </c>
    </row>
    <row r="1044">
      <c r="A1044" s="2">
        <v>4316.0</v>
      </c>
      <c r="B1044" s="2">
        <v>693.0</v>
      </c>
      <c r="C1044" s="2">
        <v>18.0</v>
      </c>
      <c r="D1044" s="2" t="s">
        <v>1648</v>
      </c>
      <c r="E1044" s="2" t="s">
        <v>2712</v>
      </c>
      <c r="H1044" s="2">
        <v>3.0</v>
      </c>
      <c r="I1044" s="2">
        <v>0.0</v>
      </c>
      <c r="K1044" s="8" t="str">
        <f t="shared" si="1"/>
        <v>CALL InsertOrUpdateAtributosProductos ('4316','693','18','SABOR','Grapefuit','3','0');</v>
      </c>
    </row>
    <row r="1045">
      <c r="A1045" s="2">
        <v>4317.0</v>
      </c>
      <c r="B1045" s="2">
        <v>693.0</v>
      </c>
      <c r="C1045" s="2">
        <v>18.0</v>
      </c>
      <c r="D1045" s="2" t="s">
        <v>1648</v>
      </c>
      <c r="E1045" s="2" t="s">
        <v>2713</v>
      </c>
      <c r="H1045" s="2">
        <v>4.0</v>
      </c>
      <c r="I1045" s="2">
        <v>0.0</v>
      </c>
      <c r="K1045" s="8" t="str">
        <f t="shared" si="1"/>
        <v>CALL InsertOrUpdateAtributosProductos ('4317','693','18','SABOR','Lime','4','0');</v>
      </c>
    </row>
    <row r="1046">
      <c r="A1046" s="2">
        <v>4318.0</v>
      </c>
      <c r="B1046" s="2">
        <v>693.0</v>
      </c>
      <c r="C1046" s="2">
        <v>18.0</v>
      </c>
      <c r="D1046" s="2" t="s">
        <v>1648</v>
      </c>
      <c r="E1046" s="2" t="s">
        <v>2714</v>
      </c>
      <c r="H1046" s="2">
        <v>5.0</v>
      </c>
      <c r="I1046" s="2">
        <v>0.0</v>
      </c>
      <c r="K1046" s="8" t="str">
        <f t="shared" si="1"/>
        <v>CALL InsertOrUpdateAtributosProductos ('4318','693','18','SABOR','Mandarin','5','0');</v>
      </c>
    </row>
    <row r="1047">
      <c r="A1047" s="2">
        <v>4319.0</v>
      </c>
      <c r="B1047" s="2">
        <v>693.0</v>
      </c>
      <c r="C1047" s="2">
        <v>18.0</v>
      </c>
      <c r="D1047" s="2" t="s">
        <v>1648</v>
      </c>
      <c r="E1047" s="2" t="s">
        <v>2715</v>
      </c>
      <c r="H1047" s="2">
        <v>6.0</v>
      </c>
      <c r="I1047" s="2">
        <v>0.0</v>
      </c>
      <c r="K1047" s="8" t="str">
        <f t="shared" si="1"/>
        <v>CALL InsertOrUpdateAtributosProductos ('4319','693','18','SABOR','Mango','6','0');</v>
      </c>
    </row>
    <row r="1048">
      <c r="A1048" s="2">
        <v>4320.0</v>
      </c>
      <c r="B1048" s="2">
        <v>693.0</v>
      </c>
      <c r="C1048" s="2">
        <v>18.0</v>
      </c>
      <c r="D1048" s="2" t="s">
        <v>1648</v>
      </c>
      <c r="E1048" s="2" t="s">
        <v>2716</v>
      </c>
      <c r="H1048" s="2">
        <v>7.0</v>
      </c>
      <c r="I1048" s="2">
        <v>0.0</v>
      </c>
      <c r="K1048" s="8" t="str">
        <f t="shared" si="1"/>
        <v>CALL InsertOrUpdateAtributosProductos ('4320','693','18','SABOR','Pears','7','0');</v>
      </c>
    </row>
    <row r="1049">
      <c r="A1049" s="2">
        <v>4321.0</v>
      </c>
      <c r="B1049" s="2">
        <v>693.0</v>
      </c>
      <c r="C1049" s="2">
        <v>18.0</v>
      </c>
      <c r="D1049" s="2" t="s">
        <v>1648</v>
      </c>
      <c r="E1049" s="2" t="s">
        <v>2717</v>
      </c>
      <c r="H1049" s="2">
        <v>8.0</v>
      </c>
      <c r="I1049" s="2">
        <v>0.0</v>
      </c>
      <c r="K1049" s="8" t="str">
        <f t="shared" si="1"/>
        <v>CALL InsertOrUpdateAtributosProductos ('4321','693','18','SABOR','Raspberri','8','0');</v>
      </c>
    </row>
    <row r="1050">
      <c r="A1050" s="2">
        <v>4322.0</v>
      </c>
      <c r="B1050" s="2">
        <v>693.0</v>
      </c>
      <c r="C1050" s="2">
        <v>18.0</v>
      </c>
      <c r="D1050" s="2" t="s">
        <v>1648</v>
      </c>
      <c r="E1050" s="2" t="s">
        <v>2718</v>
      </c>
      <c r="H1050" s="2">
        <v>9.0</v>
      </c>
      <c r="I1050" s="2">
        <v>0.0</v>
      </c>
      <c r="K1050" s="8" t="str">
        <f t="shared" si="1"/>
        <v>CALL InsertOrUpdateAtributosProductos ('4322','693','18','SABOR','Ruby Red','9','0');</v>
      </c>
    </row>
    <row r="1051">
      <c r="A1051" s="2">
        <v>4323.0</v>
      </c>
      <c r="B1051" s="2">
        <v>693.0</v>
      </c>
      <c r="C1051" s="2">
        <v>18.0</v>
      </c>
      <c r="D1051" s="2" t="s">
        <v>1648</v>
      </c>
      <c r="E1051" s="2" t="s">
        <v>2131</v>
      </c>
      <c r="H1051" s="2">
        <v>10.0</v>
      </c>
      <c r="I1051" s="2">
        <v>0.0</v>
      </c>
      <c r="K1051" s="8" t="str">
        <f t="shared" si="1"/>
        <v>CALL InsertOrUpdateAtributosProductos ('4323','693','18','SABOR','Vainilla','10','0');</v>
      </c>
    </row>
    <row r="1052">
      <c r="A1052" s="2">
        <v>4324.0</v>
      </c>
      <c r="B1052" s="2">
        <v>693.0</v>
      </c>
      <c r="C1052" s="2">
        <v>18.0</v>
      </c>
      <c r="D1052" s="2" t="s">
        <v>1648</v>
      </c>
      <c r="E1052" s="2" t="s">
        <v>2719</v>
      </c>
      <c r="H1052" s="2">
        <v>11.0</v>
      </c>
      <c r="I1052" s="2">
        <v>0.0</v>
      </c>
      <c r="K1052" s="8" t="str">
        <f t="shared" si="1"/>
        <v>CALL InsertOrUpdateAtributosProductos ('4324','693','18','SABOR','Vodka 40°','11','0');</v>
      </c>
    </row>
    <row r="1053">
      <c r="A1053" s="2">
        <v>4325.0</v>
      </c>
      <c r="B1053" s="2">
        <v>696.0</v>
      </c>
      <c r="C1053" s="2">
        <v>18.0</v>
      </c>
      <c r="D1053" s="2" t="s">
        <v>1648</v>
      </c>
      <c r="E1053" s="2" t="s">
        <v>2708</v>
      </c>
      <c r="H1053" s="2">
        <v>1.0</v>
      </c>
      <c r="I1053" s="2">
        <v>0.0</v>
      </c>
      <c r="K1053" s="8" t="str">
        <f t="shared" si="1"/>
        <v>CALL InsertOrUpdateAtributosProductos ('4325','696','18','SABOR','Clásico','1','0');</v>
      </c>
    </row>
    <row r="1054">
      <c r="A1054" s="2">
        <v>4326.0</v>
      </c>
      <c r="B1054" s="2">
        <v>696.0</v>
      </c>
      <c r="C1054" s="2">
        <v>18.0</v>
      </c>
      <c r="D1054" s="2" t="s">
        <v>1648</v>
      </c>
      <c r="E1054" s="2" t="s">
        <v>2720</v>
      </c>
      <c r="H1054" s="2">
        <v>2.0</v>
      </c>
      <c r="I1054" s="2">
        <v>0.0</v>
      </c>
      <c r="K1054" s="8" t="str">
        <f t="shared" si="1"/>
        <v>CALL InsertOrUpdateAtributosProductos ('4326','696','18','SABOR','Apricot','2','0');</v>
      </c>
    </row>
    <row r="1055">
      <c r="A1055" s="2">
        <v>4327.0</v>
      </c>
      <c r="B1055" s="2">
        <v>696.0</v>
      </c>
      <c r="C1055" s="2">
        <v>18.0</v>
      </c>
      <c r="D1055" s="2" t="s">
        <v>1648</v>
      </c>
      <c r="E1055" s="2" t="s">
        <v>2721</v>
      </c>
      <c r="H1055" s="2">
        <v>3.0</v>
      </c>
      <c r="I1055" s="2">
        <v>0.0</v>
      </c>
      <c r="K1055" s="8" t="str">
        <f t="shared" si="1"/>
        <v>CALL InsertOrUpdateAtributosProductos ('4327','696','18','SABOR','Coconut','3','0');</v>
      </c>
    </row>
    <row r="1056">
      <c r="A1056" s="2">
        <v>4328.0</v>
      </c>
      <c r="B1056" s="2">
        <v>696.0</v>
      </c>
      <c r="C1056" s="2">
        <v>18.0</v>
      </c>
      <c r="D1056" s="2" t="s">
        <v>1648</v>
      </c>
      <c r="E1056" s="2" t="s">
        <v>2722</v>
      </c>
      <c r="H1056" s="2">
        <v>4.0</v>
      </c>
      <c r="I1056" s="2">
        <v>0.0</v>
      </c>
      <c r="K1056" s="8" t="str">
        <f t="shared" si="1"/>
        <v>CALL InsertOrUpdateAtributosProductos ('4328','696','18','SABOR','Passion Fuit','4','0');</v>
      </c>
    </row>
    <row r="1057">
      <c r="A1057" s="2">
        <v>4329.0</v>
      </c>
      <c r="B1057" s="2">
        <v>696.0</v>
      </c>
      <c r="C1057" s="2">
        <v>18.0</v>
      </c>
      <c r="D1057" s="2" t="s">
        <v>1648</v>
      </c>
      <c r="E1057" s="2" t="s">
        <v>2723</v>
      </c>
      <c r="H1057" s="2">
        <v>5.0</v>
      </c>
      <c r="I1057" s="2">
        <v>0.0</v>
      </c>
      <c r="K1057" s="8" t="str">
        <f t="shared" si="1"/>
        <v>CALL InsertOrUpdateAtributosProductos ('4329','696','18','SABOR','Pineapple','5','0');</v>
      </c>
    </row>
    <row r="1058">
      <c r="A1058" s="2">
        <v>4330.0</v>
      </c>
      <c r="B1058" s="2">
        <v>696.0</v>
      </c>
      <c r="C1058" s="2">
        <v>18.0</v>
      </c>
      <c r="D1058" s="2" t="s">
        <v>1648</v>
      </c>
      <c r="E1058" s="2" t="s">
        <v>2724</v>
      </c>
      <c r="H1058" s="2">
        <v>6.0</v>
      </c>
      <c r="I1058" s="2">
        <v>0.0</v>
      </c>
      <c r="K1058" s="8" t="str">
        <f t="shared" si="1"/>
        <v>CALL InsertOrUpdateAtributosProductos ('4330','696','18','SABOR','Raspberry','6','0');</v>
      </c>
    </row>
    <row r="1059">
      <c r="A1059" s="2">
        <v>4331.0</v>
      </c>
      <c r="B1059" s="2">
        <v>697.0</v>
      </c>
      <c r="C1059" s="2">
        <v>18.0</v>
      </c>
      <c r="D1059" s="2" t="s">
        <v>1648</v>
      </c>
      <c r="E1059" s="2" t="s">
        <v>2725</v>
      </c>
      <c r="H1059" s="2">
        <v>1.0</v>
      </c>
      <c r="I1059" s="2">
        <v>0.0</v>
      </c>
      <c r="K1059" s="8" t="str">
        <f t="shared" si="1"/>
        <v>CALL InsertOrUpdateAtributosProductos ('4331','697','18','SABOR','Clasico','1','0');</v>
      </c>
    </row>
    <row r="1060">
      <c r="A1060" s="2">
        <v>4332.0</v>
      </c>
      <c r="B1060" s="2">
        <v>697.0</v>
      </c>
      <c r="C1060" s="2">
        <v>18.0</v>
      </c>
      <c r="D1060" s="2" t="s">
        <v>1648</v>
      </c>
      <c r="E1060" s="2" t="s">
        <v>2726</v>
      </c>
      <c r="H1060" s="2">
        <v>2.0</v>
      </c>
      <c r="I1060" s="2">
        <v>0.0</v>
      </c>
      <c r="K1060" s="8" t="str">
        <f t="shared" si="1"/>
        <v>CALL InsertOrUpdateAtributosProductos ('4332','697','18','SABOR','Bitter Citric','2','0');</v>
      </c>
    </row>
    <row r="1061">
      <c r="A1061" s="2">
        <v>4333.0</v>
      </c>
      <c r="B1061" s="2">
        <v>697.0</v>
      </c>
      <c r="C1061" s="2">
        <v>18.0</v>
      </c>
      <c r="D1061" s="2" t="s">
        <v>1648</v>
      </c>
      <c r="E1061" s="2" t="s">
        <v>2727</v>
      </c>
      <c r="H1061" s="2">
        <v>3.0</v>
      </c>
      <c r="I1061" s="2">
        <v>0.0</v>
      </c>
      <c r="K1061" s="8" t="str">
        <f t="shared" si="1"/>
        <v>CALL InsertOrUpdateAtributosProductos ('4333','697','18','SABOR','G. Apple','3','0');</v>
      </c>
    </row>
    <row r="1062">
      <c r="A1062" s="2">
        <v>4334.0</v>
      </c>
      <c r="B1062" s="2">
        <v>697.0</v>
      </c>
      <c r="C1062" s="2">
        <v>18.0</v>
      </c>
      <c r="D1062" s="2" t="s">
        <v>1648</v>
      </c>
      <c r="E1062" s="2" t="s">
        <v>2724</v>
      </c>
      <c r="H1062" s="2">
        <v>4.0</v>
      </c>
      <c r="I1062" s="2">
        <v>0.0</v>
      </c>
      <c r="K1062" s="8" t="str">
        <f t="shared" si="1"/>
        <v>CALL InsertOrUpdateAtributosProductos ('4334','697','18','SABOR','Raspberry','4','0');</v>
      </c>
    </row>
    <row r="1063">
      <c r="A1063" s="2">
        <v>4335.0</v>
      </c>
      <c r="B1063" s="2">
        <v>697.0</v>
      </c>
      <c r="C1063" s="2">
        <v>18.0</v>
      </c>
      <c r="D1063" s="2" t="s">
        <v>1648</v>
      </c>
      <c r="E1063" s="2" t="s">
        <v>2728</v>
      </c>
      <c r="H1063" s="2">
        <v>5.0</v>
      </c>
      <c r="I1063" s="2">
        <v>0.0</v>
      </c>
      <c r="K1063" s="8" t="str">
        <f t="shared" si="1"/>
        <v>CALL InsertOrUpdateAtributosProductos ('4335','697','18','SABOR','Watermelon','5','0');</v>
      </c>
    </row>
    <row r="1064">
      <c r="A1064" s="2">
        <v>4336.0</v>
      </c>
      <c r="B1064" s="2">
        <v>703.0</v>
      </c>
      <c r="C1064" s="2">
        <v>9.0</v>
      </c>
      <c r="D1064" s="2" t="s">
        <v>617</v>
      </c>
      <c r="E1064" s="2" t="s">
        <v>2218</v>
      </c>
      <c r="H1064" s="2">
        <v>1.0</v>
      </c>
      <c r="I1064" s="2">
        <v>0.0</v>
      </c>
      <c r="K1064" s="8" t="str">
        <f t="shared" si="1"/>
        <v>CALL InsertOrUpdateAtributosProductos ('4336','703','9','TERMINACION','Brillante','1','0');</v>
      </c>
    </row>
    <row r="1065">
      <c r="A1065" s="2">
        <v>4337.0</v>
      </c>
      <c r="B1065" s="2">
        <v>703.0</v>
      </c>
      <c r="C1065" s="2">
        <v>9.0</v>
      </c>
      <c r="D1065" s="2" t="s">
        <v>617</v>
      </c>
      <c r="E1065" s="2" t="s">
        <v>2219</v>
      </c>
      <c r="H1065" s="2">
        <v>2.0</v>
      </c>
      <c r="I1065" s="2">
        <v>0.0</v>
      </c>
      <c r="K1065" s="8" t="str">
        <f t="shared" si="1"/>
        <v>CALL InsertOrUpdateAtributosProductos ('4337','703','9','TERMINACION','Satinado','2','0');</v>
      </c>
    </row>
    <row r="1066">
      <c r="A1066" s="2">
        <v>4338.0</v>
      </c>
      <c r="B1066" s="2">
        <v>703.0</v>
      </c>
      <c r="C1066" s="2">
        <v>5.0</v>
      </c>
      <c r="D1066" s="2" t="s">
        <v>540</v>
      </c>
      <c r="E1066" s="2" t="s">
        <v>2254</v>
      </c>
      <c r="H1066" s="2">
        <v>1.0</v>
      </c>
      <c r="I1066" s="2">
        <v>0.0</v>
      </c>
      <c r="K1066" s="8" t="str">
        <f t="shared" si="1"/>
        <v>CALL InsertOrUpdateAtributosProductos ('4338','703','5','LITROS','0,5 litros','1','0');</v>
      </c>
    </row>
    <row r="1067">
      <c r="A1067" s="2">
        <v>4339.0</v>
      </c>
      <c r="B1067" s="2">
        <v>703.0</v>
      </c>
      <c r="C1067" s="2">
        <v>5.0</v>
      </c>
      <c r="D1067" s="2" t="s">
        <v>540</v>
      </c>
      <c r="E1067" s="2" t="s">
        <v>2205</v>
      </c>
      <c r="H1067" s="2">
        <v>2.0</v>
      </c>
      <c r="I1067" s="2">
        <v>0.0</v>
      </c>
      <c r="K1067" s="8" t="str">
        <f t="shared" si="1"/>
        <v>CALL InsertOrUpdateAtributosProductos ('4339','703','5','LITROS','1 litro','2','0');</v>
      </c>
    </row>
    <row r="1068">
      <c r="A1068" s="2">
        <v>4340.0</v>
      </c>
      <c r="B1068" s="2">
        <v>703.0</v>
      </c>
      <c r="C1068" s="2">
        <v>5.0</v>
      </c>
      <c r="D1068" s="2" t="s">
        <v>540</v>
      </c>
      <c r="E1068" s="2" t="s">
        <v>2206</v>
      </c>
      <c r="H1068" s="2">
        <v>3.0</v>
      </c>
      <c r="I1068" s="2">
        <v>0.0</v>
      </c>
      <c r="K1068" s="8" t="str">
        <f t="shared" si="1"/>
        <v>CALL InsertOrUpdateAtributosProductos ('4340','703','5','LITROS','4 litros','3','0');</v>
      </c>
    </row>
    <row r="1069">
      <c r="A1069" s="2">
        <v>4341.0</v>
      </c>
      <c r="B1069" s="2">
        <v>703.0</v>
      </c>
      <c r="C1069" s="2">
        <v>5.0</v>
      </c>
      <c r="D1069" s="2" t="s">
        <v>540</v>
      </c>
      <c r="E1069" s="2" t="s">
        <v>2208</v>
      </c>
      <c r="H1069" s="2">
        <v>4.0</v>
      </c>
      <c r="I1069" s="2">
        <v>0.0</v>
      </c>
      <c r="K1069" s="8" t="str">
        <f t="shared" si="1"/>
        <v>CALL InsertOrUpdateAtributosProductos ('4341','703','5','LITROS','20 litros','4','0');</v>
      </c>
    </row>
    <row r="1070">
      <c r="A1070" s="2">
        <v>4342.0</v>
      </c>
      <c r="B1070" s="2">
        <v>704.0</v>
      </c>
      <c r="C1070" s="2">
        <v>5.0</v>
      </c>
      <c r="D1070" s="2" t="s">
        <v>540</v>
      </c>
      <c r="E1070" s="2" t="s">
        <v>2205</v>
      </c>
      <c r="H1070" s="2">
        <v>1.0</v>
      </c>
      <c r="I1070" s="2">
        <v>0.0</v>
      </c>
      <c r="K1070" s="8" t="str">
        <f t="shared" si="1"/>
        <v>CALL InsertOrUpdateAtributosProductos ('4342','704','5','LITROS','1 litro','1','0');</v>
      </c>
    </row>
    <row r="1071">
      <c r="A1071" s="2">
        <v>4343.0</v>
      </c>
      <c r="B1071" s="2">
        <v>704.0</v>
      </c>
      <c r="C1071" s="2">
        <v>5.0</v>
      </c>
      <c r="D1071" s="2" t="s">
        <v>540</v>
      </c>
      <c r="E1071" s="2" t="s">
        <v>2206</v>
      </c>
      <c r="H1071" s="2">
        <v>2.0</v>
      </c>
      <c r="I1071" s="2">
        <v>0.0</v>
      </c>
      <c r="K1071" s="8" t="str">
        <f t="shared" si="1"/>
        <v>CALL InsertOrUpdateAtributosProductos ('4343','704','5','LITROS','4 litros','2','0');</v>
      </c>
    </row>
    <row r="1072">
      <c r="A1072" s="2">
        <v>4344.0</v>
      </c>
      <c r="B1072" s="2">
        <v>705.0</v>
      </c>
      <c r="C1072" s="2">
        <v>8.0</v>
      </c>
      <c r="D1072" s="2" t="s">
        <v>581</v>
      </c>
      <c r="E1072" s="2" t="s">
        <v>2256</v>
      </c>
      <c r="H1072" s="2">
        <v>1.0</v>
      </c>
      <c r="I1072" s="2">
        <v>0.0</v>
      </c>
      <c r="K1072" s="8" t="str">
        <f t="shared" si="1"/>
        <v>CALL InsertOrUpdateAtributosProductos ('4344','705','8','COLOR','Algarrobo','1','0');</v>
      </c>
    </row>
    <row r="1073">
      <c r="A1073" s="2">
        <v>4345.0</v>
      </c>
      <c r="B1073" s="2">
        <v>705.0</v>
      </c>
      <c r="C1073" s="2">
        <v>8.0</v>
      </c>
      <c r="D1073" s="2" t="s">
        <v>581</v>
      </c>
      <c r="E1073" s="2" t="s">
        <v>2245</v>
      </c>
      <c r="H1073" s="2">
        <v>2.0</v>
      </c>
      <c r="I1073" s="2">
        <v>0.0</v>
      </c>
      <c r="K1073" s="8" t="str">
        <f t="shared" si="1"/>
        <v>CALL InsertOrUpdateAtributosProductos ('4345','705','8','COLOR','Caoba','2','0');</v>
      </c>
    </row>
    <row r="1074">
      <c r="A1074" s="2">
        <v>4346.0</v>
      </c>
      <c r="B1074" s="2">
        <v>705.0</v>
      </c>
      <c r="C1074" s="2">
        <v>8.0</v>
      </c>
      <c r="D1074" s="2" t="s">
        <v>581</v>
      </c>
      <c r="E1074" s="2" t="s">
        <v>2244</v>
      </c>
      <c r="H1074" s="2">
        <v>3.0</v>
      </c>
      <c r="I1074" s="2">
        <v>0.0</v>
      </c>
      <c r="K1074" s="8" t="str">
        <f t="shared" si="1"/>
        <v>CALL InsertOrUpdateAtributosProductos ('4346','705','8','COLOR','Cedro','3','0');</v>
      </c>
    </row>
    <row r="1075">
      <c r="A1075" s="2">
        <v>4347.0</v>
      </c>
      <c r="B1075" s="2">
        <v>705.0</v>
      </c>
      <c r="C1075" s="2">
        <v>8.0</v>
      </c>
      <c r="D1075" s="2" t="s">
        <v>581</v>
      </c>
      <c r="E1075" s="2" t="s">
        <v>2247</v>
      </c>
      <c r="H1075" s="2">
        <v>4.0</v>
      </c>
      <c r="I1075" s="2">
        <v>0.0</v>
      </c>
      <c r="K1075" s="8" t="str">
        <f t="shared" si="1"/>
        <v>CALL InsertOrUpdateAtributosProductos ('4347','705','8','COLOR','Nogal','4','0');</v>
      </c>
    </row>
    <row r="1076">
      <c r="A1076" s="2">
        <v>4348.0</v>
      </c>
      <c r="B1076" s="2">
        <v>705.0</v>
      </c>
      <c r="C1076" s="2">
        <v>8.0</v>
      </c>
      <c r="D1076" s="2" t="s">
        <v>581</v>
      </c>
      <c r="E1076" s="2" t="s">
        <v>2257</v>
      </c>
      <c r="H1076" s="2">
        <v>5.0</v>
      </c>
      <c r="I1076" s="2">
        <v>0.0</v>
      </c>
      <c r="K1076" s="8" t="str">
        <f t="shared" si="1"/>
        <v>CALL InsertOrUpdateAtributosProductos ('4348','705','8','COLOR','Petiribi','5','0');</v>
      </c>
    </row>
    <row r="1077">
      <c r="A1077" s="2">
        <v>4349.0</v>
      </c>
      <c r="B1077" s="2">
        <v>705.0</v>
      </c>
      <c r="C1077" s="2">
        <v>8.0</v>
      </c>
      <c r="D1077" s="2" t="s">
        <v>581</v>
      </c>
      <c r="E1077" s="2" t="s">
        <v>2249</v>
      </c>
      <c r="H1077" s="2">
        <v>6.0</v>
      </c>
      <c r="I1077" s="2">
        <v>0.0</v>
      </c>
      <c r="K1077" s="8" t="str">
        <f t="shared" si="1"/>
        <v>CALL InsertOrUpdateAtributosProductos ('4349','705','8','COLOR','Roble claro','6','0');</v>
      </c>
    </row>
    <row r="1078">
      <c r="A1078" s="2">
        <v>4350.0</v>
      </c>
      <c r="B1078" s="2">
        <v>705.0</v>
      </c>
      <c r="C1078" s="2">
        <v>8.0</v>
      </c>
      <c r="D1078" s="2" t="s">
        <v>581</v>
      </c>
      <c r="E1078" s="2" t="s">
        <v>2250</v>
      </c>
      <c r="H1078" s="2">
        <v>7.0</v>
      </c>
      <c r="I1078" s="2">
        <v>0.0</v>
      </c>
      <c r="K1078" s="8" t="str">
        <f t="shared" si="1"/>
        <v>CALL InsertOrUpdateAtributosProductos ('4350','705','8','COLOR','Roble oscuro','7','0');</v>
      </c>
    </row>
    <row r="1079">
      <c r="A1079" s="2">
        <v>4351.0</v>
      </c>
      <c r="B1079" s="2">
        <v>705.0</v>
      </c>
      <c r="C1079" s="2">
        <v>8.0</v>
      </c>
      <c r="D1079" s="2" t="s">
        <v>581</v>
      </c>
      <c r="E1079" s="2" t="s">
        <v>2258</v>
      </c>
      <c r="H1079" s="2">
        <v>8.0</v>
      </c>
      <c r="I1079" s="2">
        <v>0.0</v>
      </c>
      <c r="K1079" s="8" t="str">
        <f t="shared" si="1"/>
        <v>CALL InsertOrUpdateAtributosProductos ('4351','705','8','COLOR','Viraro','8','0');</v>
      </c>
    </row>
    <row r="1080">
      <c r="A1080" s="2">
        <v>4352.0</v>
      </c>
      <c r="B1080" s="2">
        <v>705.0</v>
      </c>
      <c r="C1080" s="2">
        <v>8.0</v>
      </c>
      <c r="D1080" s="2" t="s">
        <v>581</v>
      </c>
      <c r="E1080" s="2" t="s">
        <v>2259</v>
      </c>
      <c r="H1080" s="2">
        <v>9.0</v>
      </c>
      <c r="I1080" s="2">
        <v>0.0</v>
      </c>
      <c r="K1080" s="8" t="str">
        <f t="shared" si="1"/>
        <v>CALL InsertOrUpdateAtributosProductos ('4352','705','8','COLOR','Wenge','9','0');</v>
      </c>
    </row>
    <row r="1081">
      <c r="A1081" s="2">
        <v>4353.0</v>
      </c>
      <c r="B1081" s="2">
        <v>706.0</v>
      </c>
      <c r="C1081" s="2">
        <v>3.0</v>
      </c>
      <c r="D1081" s="2" t="s">
        <v>263</v>
      </c>
      <c r="E1081" s="2" t="s">
        <v>2260</v>
      </c>
      <c r="H1081" s="2">
        <v>1.0</v>
      </c>
      <c r="I1081" s="2">
        <v>0.0</v>
      </c>
      <c r="K1081" s="8" t="str">
        <f t="shared" si="1"/>
        <v>CALL InsertOrUpdateAtributosProductos ('4353','706','3','MEDIDAS','N° 10','1','0');</v>
      </c>
    </row>
    <row r="1082">
      <c r="A1082" s="2">
        <v>4354.0</v>
      </c>
      <c r="B1082" s="2">
        <v>706.0</v>
      </c>
      <c r="C1082" s="2">
        <v>3.0</v>
      </c>
      <c r="D1082" s="2" t="s">
        <v>263</v>
      </c>
      <c r="E1082" s="2" t="s">
        <v>2261</v>
      </c>
      <c r="H1082" s="2">
        <v>2.0</v>
      </c>
      <c r="I1082" s="2">
        <v>0.0</v>
      </c>
      <c r="K1082" s="8" t="str">
        <f t="shared" si="1"/>
        <v>CALL InsertOrUpdateAtributosProductos ('4354','706','3','MEDIDAS','N° 15','2','0');</v>
      </c>
    </row>
    <row r="1083">
      <c r="A1083" s="2">
        <v>4355.0</v>
      </c>
      <c r="B1083" s="2">
        <v>706.0</v>
      </c>
      <c r="C1083" s="2">
        <v>3.0</v>
      </c>
      <c r="D1083" s="2" t="s">
        <v>263</v>
      </c>
      <c r="E1083" s="2" t="s">
        <v>2262</v>
      </c>
      <c r="H1083" s="2">
        <v>3.0</v>
      </c>
      <c r="I1083" s="2">
        <v>0.0</v>
      </c>
      <c r="K1083" s="8" t="str">
        <f t="shared" si="1"/>
        <v>CALL InsertOrUpdateAtributosProductos ('4355','706','3','MEDIDAS','N° 20','3','0');</v>
      </c>
    </row>
    <row r="1084">
      <c r="A1084" s="2">
        <v>4356.0</v>
      </c>
      <c r="B1084" s="2">
        <v>706.0</v>
      </c>
      <c r="C1084" s="2">
        <v>3.0</v>
      </c>
      <c r="D1084" s="2" t="s">
        <v>263</v>
      </c>
      <c r="E1084" s="2" t="s">
        <v>2263</v>
      </c>
      <c r="H1084" s="2">
        <v>4.0</v>
      </c>
      <c r="I1084" s="2">
        <v>0.0</v>
      </c>
      <c r="K1084" s="8" t="str">
        <f t="shared" si="1"/>
        <v>CALL InsertOrUpdateAtributosProductos ('4356','706','3','MEDIDAS','N° 25','4','0');</v>
      </c>
    </row>
    <row r="1085">
      <c r="A1085" s="2">
        <v>4357.0</v>
      </c>
      <c r="B1085" s="2">
        <v>706.0</v>
      </c>
      <c r="C1085" s="2">
        <v>3.0</v>
      </c>
      <c r="D1085" s="2" t="s">
        <v>263</v>
      </c>
      <c r="E1085" s="2" t="s">
        <v>2264</v>
      </c>
      <c r="H1085" s="2">
        <v>5.0</v>
      </c>
      <c r="I1085" s="2">
        <v>0.0</v>
      </c>
      <c r="K1085" s="8" t="str">
        <f t="shared" si="1"/>
        <v>CALL InsertOrUpdateAtributosProductos ('4357','706','3','MEDIDAS','N° 30','5','0');</v>
      </c>
    </row>
    <row r="1086">
      <c r="A1086" s="2">
        <v>4358.0</v>
      </c>
      <c r="B1086" s="2">
        <v>709.0</v>
      </c>
      <c r="C1086" s="2">
        <v>3.0</v>
      </c>
      <c r="D1086" s="2" t="s">
        <v>263</v>
      </c>
      <c r="E1086" s="2" t="s">
        <v>2729</v>
      </c>
      <c r="H1086" s="2">
        <v>1.0</v>
      </c>
      <c r="I1086" s="2">
        <v>0.0</v>
      </c>
      <c r="K1086" s="8" t="str">
        <f t="shared" si="1"/>
        <v>CALL InsertOrUpdateAtributosProductos ('4358','709','3','MEDIDAS','3 escalones','1','0');</v>
      </c>
    </row>
    <row r="1087">
      <c r="A1087" s="2">
        <v>4359.0</v>
      </c>
      <c r="B1087" s="2">
        <v>709.0</v>
      </c>
      <c r="C1087" s="2">
        <v>3.0</v>
      </c>
      <c r="D1087" s="2" t="s">
        <v>263</v>
      </c>
      <c r="E1087" s="2" t="s">
        <v>2284</v>
      </c>
      <c r="H1087" s="2">
        <v>2.0</v>
      </c>
      <c r="I1087" s="2">
        <v>0.0</v>
      </c>
      <c r="K1087" s="8" t="str">
        <f t="shared" si="1"/>
        <v>CALL InsertOrUpdateAtributosProductos ('4359','709','3','MEDIDAS','4 escalones','2','0');</v>
      </c>
    </row>
    <row r="1088">
      <c r="A1088" s="2">
        <v>4360.0</v>
      </c>
      <c r="B1088" s="2">
        <v>709.0</v>
      </c>
      <c r="C1088" s="2">
        <v>3.0</v>
      </c>
      <c r="D1088" s="2" t="s">
        <v>263</v>
      </c>
      <c r="E1088" s="2" t="s">
        <v>2730</v>
      </c>
      <c r="H1088" s="2">
        <v>3.0</v>
      </c>
      <c r="I1088" s="2">
        <v>0.0</v>
      </c>
      <c r="K1088" s="8" t="str">
        <f t="shared" si="1"/>
        <v>CALL InsertOrUpdateAtributosProductos ('4360','709','3','MEDIDAS','5 escalones','3','0');</v>
      </c>
    </row>
    <row r="1089">
      <c r="A1089" s="2">
        <v>4361.0</v>
      </c>
      <c r="B1089" s="2">
        <v>709.0</v>
      </c>
      <c r="C1089" s="2">
        <v>3.0</v>
      </c>
      <c r="D1089" s="2" t="s">
        <v>263</v>
      </c>
      <c r="E1089" s="2" t="s">
        <v>2285</v>
      </c>
      <c r="H1089" s="2">
        <v>4.0</v>
      </c>
      <c r="I1089" s="2">
        <v>0.0</v>
      </c>
      <c r="K1089" s="8" t="str">
        <f t="shared" si="1"/>
        <v>CALL InsertOrUpdateAtributosProductos ('4361','709','3','MEDIDAS','6 escalones','4','0');</v>
      </c>
    </row>
    <row r="1090">
      <c r="A1090" s="2">
        <v>4362.0</v>
      </c>
      <c r="B1090" s="2">
        <v>709.0</v>
      </c>
      <c r="C1090" s="2">
        <v>3.0</v>
      </c>
      <c r="D1090" s="2" t="s">
        <v>263</v>
      </c>
      <c r="E1090" s="2" t="s">
        <v>2731</v>
      </c>
      <c r="H1090" s="2">
        <v>5.0</v>
      </c>
      <c r="I1090" s="2">
        <v>0.0</v>
      </c>
      <c r="K1090" s="8" t="str">
        <f t="shared" si="1"/>
        <v>CALL InsertOrUpdateAtributosProductos ('4362','709','3','MEDIDAS','7 escalones','5','0');</v>
      </c>
    </row>
    <row r="1091">
      <c r="A1091" s="2">
        <v>4363.0</v>
      </c>
      <c r="B1091" s="2">
        <v>710.0</v>
      </c>
      <c r="C1091" s="2">
        <v>3.0</v>
      </c>
      <c r="D1091" s="2" t="s">
        <v>263</v>
      </c>
      <c r="E1091" s="2" t="s">
        <v>2732</v>
      </c>
      <c r="H1091" s="2">
        <v>1.0</v>
      </c>
      <c r="I1091" s="2">
        <v>0.0</v>
      </c>
      <c r="K1091" s="8" t="str">
        <f t="shared" si="1"/>
        <v>CALL InsertOrUpdateAtributosProductos ('4363','710','3','MEDIDAS','6 a 12 ecalones','1','0');</v>
      </c>
    </row>
    <row r="1092">
      <c r="A1092" s="2">
        <v>4364.0</v>
      </c>
      <c r="B1092" s="2">
        <v>710.0</v>
      </c>
      <c r="C1092" s="2">
        <v>3.0</v>
      </c>
      <c r="D1092" s="2" t="s">
        <v>263</v>
      </c>
      <c r="E1092" s="2" t="s">
        <v>2733</v>
      </c>
      <c r="H1092" s="2">
        <v>2.0</v>
      </c>
      <c r="I1092" s="2">
        <v>0.0</v>
      </c>
      <c r="K1092" s="8" t="str">
        <f t="shared" si="1"/>
        <v>CALL InsertOrUpdateAtributosProductos ('4364','710','3','MEDIDAS','8 a 16 escalones','2','0');</v>
      </c>
    </row>
    <row r="1093">
      <c r="A1093" s="2">
        <v>4365.0</v>
      </c>
      <c r="B1093" s="2">
        <v>710.0</v>
      </c>
      <c r="C1093" s="2">
        <v>3.0</v>
      </c>
      <c r="D1093" s="2" t="s">
        <v>263</v>
      </c>
      <c r="E1093" s="2" t="s">
        <v>2734</v>
      </c>
      <c r="H1093" s="2">
        <v>3.0</v>
      </c>
      <c r="I1093" s="2">
        <v>0.0</v>
      </c>
      <c r="K1093" s="8" t="str">
        <f t="shared" si="1"/>
        <v>CALL InsertOrUpdateAtributosProductos ('4365','710','3','MEDIDAS','9 a 18 escalones','3','0');</v>
      </c>
    </row>
    <row r="1094">
      <c r="A1094" s="2">
        <v>4366.0</v>
      </c>
      <c r="B1094" s="2">
        <v>710.0</v>
      </c>
      <c r="C1094" s="2">
        <v>3.0</v>
      </c>
      <c r="D1094" s="2" t="s">
        <v>263</v>
      </c>
      <c r="E1094" s="2" t="s">
        <v>2735</v>
      </c>
      <c r="H1094" s="2">
        <v>4.0</v>
      </c>
      <c r="I1094" s="2">
        <v>0.0</v>
      </c>
      <c r="K1094" s="8" t="str">
        <f t="shared" si="1"/>
        <v>CALL InsertOrUpdateAtributosProductos ('4366','710','3','MEDIDAS','10 a 20 escalones','4','0');</v>
      </c>
    </row>
    <row r="1095">
      <c r="A1095" s="2">
        <v>4367.0</v>
      </c>
      <c r="B1095" s="2">
        <v>710.0</v>
      </c>
      <c r="C1095" s="2">
        <v>3.0</v>
      </c>
      <c r="D1095" s="2" t="s">
        <v>263</v>
      </c>
      <c r="E1095" s="2" t="s">
        <v>2736</v>
      </c>
      <c r="H1095" s="2">
        <v>5.0</v>
      </c>
      <c r="I1095" s="2">
        <v>0.0</v>
      </c>
      <c r="K1095" s="8" t="str">
        <f t="shared" si="1"/>
        <v>CALL InsertOrUpdateAtributosProductos ('4367','710','3','MEDIDAS','12 a 24 escalones','5','0');</v>
      </c>
    </row>
    <row r="1096">
      <c r="A1096" s="2">
        <v>4368.0</v>
      </c>
      <c r="B1096" s="2">
        <v>711.0</v>
      </c>
      <c r="C1096" s="2">
        <v>3.0</v>
      </c>
      <c r="D1096" s="2" t="s">
        <v>263</v>
      </c>
      <c r="E1096" s="2" t="s">
        <v>2290</v>
      </c>
      <c r="H1096" s="2">
        <v>1.0</v>
      </c>
      <c r="I1096" s="2">
        <v>0.0</v>
      </c>
      <c r="K1096" s="8" t="str">
        <f t="shared" si="1"/>
        <v>CALL InsertOrUpdateAtributosProductos ('4368','711','3','MEDIDAS','18 mm','1','0');</v>
      </c>
    </row>
    <row r="1097">
      <c r="A1097" s="2">
        <v>4369.0</v>
      </c>
      <c r="B1097" s="2">
        <v>711.0</v>
      </c>
      <c r="C1097" s="2">
        <v>3.0</v>
      </c>
      <c r="D1097" s="2" t="s">
        <v>263</v>
      </c>
      <c r="E1097" s="2" t="s">
        <v>2291</v>
      </c>
      <c r="H1097" s="2">
        <v>2.0</v>
      </c>
      <c r="I1097" s="2">
        <v>0.0</v>
      </c>
      <c r="K1097" s="8" t="str">
        <f t="shared" si="1"/>
        <v>CALL InsertOrUpdateAtributosProductos ('4369','711','3','MEDIDAS','24 mm','2','0');</v>
      </c>
    </row>
    <row r="1098">
      <c r="A1098" s="2">
        <v>4370.0</v>
      </c>
      <c r="B1098" s="2">
        <v>711.0</v>
      </c>
      <c r="C1098" s="2">
        <v>3.0</v>
      </c>
      <c r="D1098" s="2" t="s">
        <v>263</v>
      </c>
      <c r="E1098" s="2" t="s">
        <v>2292</v>
      </c>
      <c r="H1098" s="2">
        <v>3.0</v>
      </c>
      <c r="I1098" s="2">
        <v>0.0</v>
      </c>
      <c r="K1098" s="8" t="str">
        <f t="shared" si="1"/>
        <v>CALL InsertOrUpdateAtributosProductos ('4370','711','3','MEDIDAS','36 mm','3','0');</v>
      </c>
    </row>
    <row r="1099">
      <c r="A1099" s="2">
        <v>4371.0</v>
      </c>
      <c r="B1099" s="2">
        <v>711.0</v>
      </c>
      <c r="C1099" s="2">
        <v>3.0</v>
      </c>
      <c r="D1099" s="2" t="s">
        <v>263</v>
      </c>
      <c r="E1099" s="2" t="s">
        <v>2293</v>
      </c>
      <c r="H1099" s="2">
        <v>4.0</v>
      </c>
      <c r="I1099" s="2">
        <v>0.0</v>
      </c>
      <c r="K1099" s="8" t="str">
        <f t="shared" si="1"/>
        <v>CALL InsertOrUpdateAtributosProductos ('4371','711','3','MEDIDAS','48 mm','4','0');</v>
      </c>
    </row>
    <row r="1100">
      <c r="A1100" s="2">
        <v>4372.0</v>
      </c>
      <c r="B1100" s="2">
        <v>715.0</v>
      </c>
      <c r="C1100" s="2">
        <v>3.0</v>
      </c>
      <c r="D1100" s="2" t="s">
        <v>263</v>
      </c>
      <c r="E1100" s="2" t="s">
        <v>2737</v>
      </c>
      <c r="H1100" s="2">
        <v>2.0</v>
      </c>
      <c r="I1100" s="2">
        <v>0.0</v>
      </c>
      <c r="K1100" s="8" t="str">
        <f t="shared" si="1"/>
        <v>CALL InsertOrUpdateAtributosProductos ('4372','715','3','MEDIDAS','18 cm','2','0');</v>
      </c>
    </row>
    <row r="1101">
      <c r="A1101" s="2">
        <v>4373.0</v>
      </c>
      <c r="B1101" s="2">
        <v>715.0</v>
      </c>
      <c r="C1101" s="2">
        <v>3.0</v>
      </c>
      <c r="D1101" s="2" t="s">
        <v>263</v>
      </c>
      <c r="E1101" s="2" t="s">
        <v>2267</v>
      </c>
      <c r="H1101" s="2">
        <v>3.0</v>
      </c>
      <c r="I1101" s="2">
        <v>0.0</v>
      </c>
      <c r="K1101" s="8" t="str">
        <f t="shared" si="1"/>
        <v>CALL InsertOrUpdateAtributosProductos ('4373','715','3','MEDIDAS','22 cm','3','0');</v>
      </c>
    </row>
    <row r="1102">
      <c r="A1102" s="2">
        <v>4374.0</v>
      </c>
      <c r="B1102" s="2">
        <v>716.0</v>
      </c>
      <c r="C1102" s="2">
        <v>3.0</v>
      </c>
      <c r="D1102" s="2" t="s">
        <v>263</v>
      </c>
      <c r="E1102" s="2" t="s">
        <v>2265</v>
      </c>
      <c r="H1102" s="2">
        <v>1.0</v>
      </c>
      <c r="I1102" s="2">
        <v>0.0</v>
      </c>
      <c r="K1102" s="8" t="str">
        <f t="shared" si="1"/>
        <v>CALL InsertOrUpdateAtributosProductos ('4374','716','3','MEDIDAS','10 cm','1','0');</v>
      </c>
    </row>
    <row r="1103">
      <c r="A1103" s="2">
        <v>4375.0</v>
      </c>
      <c r="B1103" s="2">
        <v>716.0</v>
      </c>
      <c r="C1103" s="2">
        <v>3.0</v>
      </c>
      <c r="D1103" s="2" t="s">
        <v>263</v>
      </c>
      <c r="E1103" s="2" t="s">
        <v>2266</v>
      </c>
      <c r="H1103" s="2">
        <v>2.0</v>
      </c>
      <c r="I1103" s="2">
        <v>0.0</v>
      </c>
      <c r="K1103" s="8" t="str">
        <f t="shared" si="1"/>
        <v>CALL InsertOrUpdateAtributosProductos ('4375','716','3','MEDIDAS','17 cm','2','0');</v>
      </c>
    </row>
    <row r="1104">
      <c r="A1104" s="2">
        <v>4376.0</v>
      </c>
      <c r="B1104" s="2">
        <v>716.0</v>
      </c>
      <c r="C1104" s="2">
        <v>3.0</v>
      </c>
      <c r="D1104" s="2" t="s">
        <v>263</v>
      </c>
      <c r="E1104" s="2" t="s">
        <v>2267</v>
      </c>
      <c r="H1104" s="2">
        <v>3.0</v>
      </c>
      <c r="I1104" s="2">
        <v>0.0</v>
      </c>
      <c r="K1104" s="8" t="str">
        <f t="shared" si="1"/>
        <v>CALL InsertOrUpdateAtributosProductos ('4376','716','3','MEDIDAS','22 cm','3','0');</v>
      </c>
    </row>
    <row r="1105">
      <c r="A1105" s="2">
        <v>4377.0</v>
      </c>
      <c r="B1105" s="2">
        <v>717.0</v>
      </c>
      <c r="C1105" s="2">
        <v>3.0</v>
      </c>
      <c r="D1105" s="2" t="s">
        <v>263</v>
      </c>
      <c r="E1105" s="2" t="s">
        <v>2738</v>
      </c>
      <c r="H1105" s="2">
        <v>1.0</v>
      </c>
      <c r="I1105" s="2">
        <v>0.0</v>
      </c>
      <c r="K1105" s="8" t="str">
        <f t="shared" si="1"/>
        <v>CALL InsertOrUpdateAtributosProductos ('4377','717','3','MEDIDAS','5 cm','1','0');</v>
      </c>
    </row>
    <row r="1106">
      <c r="A1106" s="2">
        <v>4378.0</v>
      </c>
      <c r="B1106" s="2">
        <v>717.0</v>
      </c>
      <c r="C1106" s="2">
        <v>3.0</v>
      </c>
      <c r="D1106" s="2" t="s">
        <v>263</v>
      </c>
      <c r="E1106" s="2" t="s">
        <v>2739</v>
      </c>
      <c r="H1106" s="2">
        <v>2.0</v>
      </c>
      <c r="I1106" s="2">
        <v>0.0</v>
      </c>
      <c r="K1106" s="8" t="str">
        <f t="shared" si="1"/>
        <v>CALL InsertOrUpdateAtributosProductos ('4378','717','3','MEDIDAS','8 cm','2','0');</v>
      </c>
    </row>
    <row r="1107">
      <c r="A1107" s="2">
        <v>4379.0</v>
      </c>
      <c r="B1107" s="2">
        <v>717.0</v>
      </c>
      <c r="C1107" s="2">
        <v>3.0</v>
      </c>
      <c r="D1107" s="2" t="s">
        <v>263</v>
      </c>
      <c r="E1107" s="2" t="s">
        <v>2740</v>
      </c>
      <c r="H1107" s="2">
        <v>3.0</v>
      </c>
      <c r="I1107" s="2">
        <v>0.0</v>
      </c>
      <c r="K1107" s="8" t="str">
        <f t="shared" si="1"/>
        <v>CALL InsertOrUpdateAtributosProductos ('4379','717','3','MEDIDAS','11 cm','3','0');</v>
      </c>
    </row>
    <row r="1108">
      <c r="A1108" s="2">
        <v>4380.0</v>
      </c>
      <c r="B1108" s="2">
        <v>718.0</v>
      </c>
      <c r="C1108" s="2">
        <v>3.0</v>
      </c>
      <c r="D1108" s="2" t="s">
        <v>263</v>
      </c>
      <c r="E1108" s="2" t="s">
        <v>2738</v>
      </c>
      <c r="H1108" s="2">
        <v>1.0</v>
      </c>
      <c r="I1108" s="2">
        <v>0.0</v>
      </c>
      <c r="K1108" s="8" t="str">
        <f t="shared" si="1"/>
        <v>CALL InsertOrUpdateAtributosProductos ('4380','718','3','MEDIDAS','5 cm','1','0');</v>
      </c>
    </row>
    <row r="1109">
      <c r="A1109" s="2">
        <v>4381.0</v>
      </c>
      <c r="B1109" s="2">
        <v>718.0</v>
      </c>
      <c r="C1109" s="2">
        <v>3.0</v>
      </c>
      <c r="D1109" s="2" t="s">
        <v>263</v>
      </c>
      <c r="E1109" s="2" t="s">
        <v>2739</v>
      </c>
      <c r="H1109" s="2">
        <v>2.0</v>
      </c>
      <c r="I1109" s="2">
        <v>0.0</v>
      </c>
      <c r="K1109" s="8" t="str">
        <f t="shared" si="1"/>
        <v>CALL InsertOrUpdateAtributosProductos ('4381','718','3','MEDIDAS','8 cm','2','0');</v>
      </c>
    </row>
    <row r="1110">
      <c r="A1110" s="2">
        <v>4382.0</v>
      </c>
      <c r="B1110" s="2">
        <v>718.0</v>
      </c>
      <c r="C1110" s="2">
        <v>3.0</v>
      </c>
      <c r="D1110" s="2" t="s">
        <v>263</v>
      </c>
      <c r="E1110" s="2" t="s">
        <v>2740</v>
      </c>
      <c r="H1110" s="2">
        <v>3.0</v>
      </c>
      <c r="I1110" s="2">
        <v>0.0</v>
      </c>
      <c r="K1110" s="8" t="str">
        <f t="shared" si="1"/>
        <v>CALL InsertOrUpdateAtributosProductos ('4382','718','3','MEDIDAS','11 cm','3','0');</v>
      </c>
    </row>
    <row r="1111">
      <c r="A1111" s="2">
        <v>4383.0</v>
      </c>
      <c r="B1111" s="2">
        <v>742.0</v>
      </c>
      <c r="C1111" s="2">
        <v>4.0</v>
      </c>
      <c r="D1111" s="2" t="s">
        <v>315</v>
      </c>
      <c r="E1111" s="2">
        <v>1.0</v>
      </c>
      <c r="H1111" s="2">
        <v>1.0</v>
      </c>
      <c r="I1111" s="2">
        <v>0.0</v>
      </c>
      <c r="K1111" s="8" t="str">
        <f t="shared" si="1"/>
        <v>CALL InsertOrUpdateAtributosProductos ('4383','742','4','TALLE','1','1','0');</v>
      </c>
    </row>
    <row r="1112">
      <c r="A1112" s="2">
        <v>4384.0</v>
      </c>
      <c r="B1112" s="2">
        <v>742.0</v>
      </c>
      <c r="C1112" s="2">
        <v>4.0</v>
      </c>
      <c r="D1112" s="2" t="s">
        <v>315</v>
      </c>
      <c r="E1112" s="2">
        <v>2.0</v>
      </c>
      <c r="H1112" s="2">
        <v>2.0</v>
      </c>
      <c r="I1112" s="2">
        <v>0.0</v>
      </c>
      <c r="K1112" s="8" t="str">
        <f t="shared" si="1"/>
        <v>CALL InsertOrUpdateAtributosProductos ('4384','742','4','TALLE','2','2','0');</v>
      </c>
    </row>
    <row r="1113">
      <c r="A1113" s="2">
        <v>4385.0</v>
      </c>
      <c r="B1113" s="2">
        <v>742.0</v>
      </c>
      <c r="C1113" s="2">
        <v>4.0</v>
      </c>
      <c r="D1113" s="2" t="s">
        <v>315</v>
      </c>
      <c r="E1113" s="2">
        <v>3.0</v>
      </c>
      <c r="H1113" s="2">
        <v>3.0</v>
      </c>
      <c r="I1113" s="2">
        <v>0.0</v>
      </c>
      <c r="K1113" s="8" t="str">
        <f t="shared" si="1"/>
        <v>CALL InsertOrUpdateAtributosProductos ('4385','742','4','TALLE','3','3','0');</v>
      </c>
    </row>
    <row r="1114">
      <c r="A1114" s="2">
        <v>4386.0</v>
      </c>
      <c r="B1114" s="2">
        <v>742.0</v>
      </c>
      <c r="C1114" s="2">
        <v>4.0</v>
      </c>
      <c r="D1114" s="2" t="s">
        <v>315</v>
      </c>
      <c r="E1114" s="2">
        <v>4.0</v>
      </c>
      <c r="H1114" s="2">
        <v>4.0</v>
      </c>
      <c r="I1114" s="2">
        <v>0.0</v>
      </c>
      <c r="K1114" s="8" t="str">
        <f t="shared" si="1"/>
        <v>CALL InsertOrUpdateAtributosProductos ('4386','742','4','TALLE','4','4','0');</v>
      </c>
    </row>
    <row r="1115">
      <c r="A1115" s="2">
        <v>4387.0</v>
      </c>
      <c r="B1115" s="2">
        <v>742.0</v>
      </c>
      <c r="C1115" s="2">
        <v>4.0</v>
      </c>
      <c r="D1115" s="2" t="s">
        <v>315</v>
      </c>
      <c r="E1115" s="2">
        <v>5.0</v>
      </c>
      <c r="H1115" s="2">
        <v>5.0</v>
      </c>
      <c r="I1115" s="2">
        <v>0.0</v>
      </c>
      <c r="K1115" s="8" t="str">
        <f t="shared" si="1"/>
        <v>CALL InsertOrUpdateAtributosProductos ('4387','742','4','TALLE','5','5','0');</v>
      </c>
    </row>
    <row r="1116">
      <c r="A1116" s="2">
        <v>4388.0</v>
      </c>
      <c r="B1116" s="2">
        <v>743.0</v>
      </c>
      <c r="C1116" s="2">
        <v>3.0</v>
      </c>
      <c r="D1116" s="2" t="s">
        <v>263</v>
      </c>
      <c r="E1116" s="2" t="s">
        <v>2154</v>
      </c>
      <c r="H1116" s="2">
        <v>5.0</v>
      </c>
      <c r="I1116" s="2">
        <v>0.0</v>
      </c>
      <c r="K1116" s="8" t="str">
        <f t="shared" si="1"/>
        <v>CALL InsertOrUpdateAtributosProductos ('4388','743','3','MEDIDAS','50 cm','5','0');</v>
      </c>
    </row>
    <row r="1117">
      <c r="A1117" s="2">
        <v>4389.0</v>
      </c>
      <c r="B1117" s="2">
        <v>743.0</v>
      </c>
      <c r="C1117" s="2">
        <v>3.0</v>
      </c>
      <c r="D1117" s="2" t="s">
        <v>263</v>
      </c>
      <c r="E1117" s="2" t="s">
        <v>2741</v>
      </c>
      <c r="H1117" s="2">
        <v>5.0</v>
      </c>
      <c r="I1117" s="2">
        <v>0.0</v>
      </c>
      <c r="K1117" s="8" t="str">
        <f t="shared" si="1"/>
        <v>CALL InsertOrUpdateAtributosProductos ('4389','743','3','MEDIDAS','75 cm','5','0');</v>
      </c>
    </row>
    <row r="1118">
      <c r="A1118" s="2">
        <v>4390.0</v>
      </c>
      <c r="B1118" s="2">
        <v>743.0</v>
      </c>
      <c r="C1118" s="2">
        <v>3.0</v>
      </c>
      <c r="D1118" s="2" t="s">
        <v>263</v>
      </c>
      <c r="E1118" s="2" t="s">
        <v>2151</v>
      </c>
      <c r="H1118" s="2">
        <v>5.0</v>
      </c>
      <c r="I1118" s="2">
        <v>0.0</v>
      </c>
      <c r="K1118" s="8" t="str">
        <f t="shared" si="1"/>
        <v>CALL InsertOrUpdateAtributosProductos ('4390','743','3','MEDIDAS','100 cm','5','0');</v>
      </c>
    </row>
    <row r="1119">
      <c r="A1119" s="2">
        <v>4391.0</v>
      </c>
      <c r="B1119" s="2">
        <v>744.0</v>
      </c>
      <c r="C1119" s="2">
        <v>2.0</v>
      </c>
      <c r="D1119" s="2" t="s">
        <v>259</v>
      </c>
      <c r="E1119" s="2" t="s">
        <v>2742</v>
      </c>
      <c r="H1119" s="2">
        <v>1.0</v>
      </c>
      <c r="I1119" s="2">
        <v>0.0</v>
      </c>
      <c r="K1119" s="8" t="str">
        <f t="shared" si="1"/>
        <v>CALL InsertOrUpdateAtributosProductos ('4391','744','2','TIPO','A4 70 gramos','1','0');</v>
      </c>
    </row>
    <row r="1120">
      <c r="A1120" s="2">
        <v>4392.0</v>
      </c>
      <c r="B1120" s="2">
        <v>744.0</v>
      </c>
      <c r="C1120" s="2">
        <v>2.0</v>
      </c>
      <c r="D1120" s="2" t="s">
        <v>259</v>
      </c>
      <c r="E1120" s="2" t="s">
        <v>2612</v>
      </c>
      <c r="H1120" s="2">
        <v>1.0</v>
      </c>
      <c r="I1120" s="2">
        <v>0.0</v>
      </c>
      <c r="K1120" s="8" t="str">
        <f t="shared" si="1"/>
        <v>CALL InsertOrUpdateAtributosProductos ('4392','744','2','TIPO','A4 75 gramos','1','0');</v>
      </c>
    </row>
    <row r="1121">
      <c r="A1121" s="2">
        <v>4393.0</v>
      </c>
      <c r="B1121" s="2">
        <v>744.0</v>
      </c>
      <c r="C1121" s="2">
        <v>2.0</v>
      </c>
      <c r="D1121" s="2" t="s">
        <v>259</v>
      </c>
      <c r="E1121" s="2" t="s">
        <v>2743</v>
      </c>
      <c r="H1121" s="2">
        <v>1.0</v>
      </c>
      <c r="I1121" s="2">
        <v>0.0</v>
      </c>
      <c r="K1121" s="8" t="str">
        <f t="shared" si="1"/>
        <v>CALL InsertOrUpdateAtributosProductos ('4393','744','2','TIPO','A4 80 gramos','1','0');</v>
      </c>
    </row>
    <row r="1122">
      <c r="A1122" s="2">
        <v>4394.0</v>
      </c>
      <c r="B1122" s="2">
        <v>744.0</v>
      </c>
      <c r="C1122" s="2">
        <v>2.0</v>
      </c>
      <c r="D1122" s="2" t="s">
        <v>259</v>
      </c>
      <c r="E1122" s="2" t="s">
        <v>2744</v>
      </c>
      <c r="H1122" s="2">
        <v>1.0</v>
      </c>
      <c r="I1122" s="2">
        <v>0.0</v>
      </c>
      <c r="K1122" s="8" t="str">
        <f t="shared" si="1"/>
        <v>CALL InsertOrUpdateAtributosProductos ('4394','744','2','TIPO','A4 90 gramos','1','0');</v>
      </c>
    </row>
    <row r="1123">
      <c r="A1123" s="2">
        <v>4395.0</v>
      </c>
      <c r="B1123" s="2">
        <v>744.0</v>
      </c>
      <c r="C1123" s="2">
        <v>2.0</v>
      </c>
      <c r="D1123" s="2" t="s">
        <v>259</v>
      </c>
      <c r="E1123" s="2" t="s">
        <v>2613</v>
      </c>
      <c r="H1123" s="2">
        <v>1.0</v>
      </c>
      <c r="I1123" s="2">
        <v>0.0</v>
      </c>
      <c r="K1123" s="8" t="str">
        <f t="shared" si="1"/>
        <v>CALL InsertOrUpdateAtributosProductos ('4395','744','2','TIPO','Oficio 75 gramos','1','0');</v>
      </c>
    </row>
    <row r="1124">
      <c r="A1124" s="2">
        <v>4396.0</v>
      </c>
      <c r="B1124" s="2">
        <v>744.0</v>
      </c>
      <c r="C1124" s="2">
        <v>2.0</v>
      </c>
      <c r="D1124" s="2" t="s">
        <v>259</v>
      </c>
      <c r="E1124" s="2" t="s">
        <v>2745</v>
      </c>
      <c r="H1124" s="2">
        <v>1.0</v>
      </c>
      <c r="I1124" s="2">
        <v>0.0</v>
      </c>
      <c r="K1124" s="8" t="str">
        <f t="shared" si="1"/>
        <v>CALL InsertOrUpdateAtributosProductos ('4396','744','2','TIPO','Oficio 80 gramos','1','0');</v>
      </c>
    </row>
    <row r="1125">
      <c r="A1125" s="2">
        <v>4397.0</v>
      </c>
      <c r="B1125" s="2">
        <v>744.0</v>
      </c>
      <c r="C1125" s="2">
        <v>2.0</v>
      </c>
      <c r="D1125" s="2" t="s">
        <v>259</v>
      </c>
      <c r="E1125" s="2" t="s">
        <v>2746</v>
      </c>
      <c r="H1125" s="2">
        <v>1.0</v>
      </c>
      <c r="I1125" s="2">
        <v>0.0</v>
      </c>
      <c r="K1125" s="8" t="str">
        <f t="shared" si="1"/>
        <v>CALL InsertOrUpdateAtributosProductos ('4397','744','2','TIPO','Carta 75 gramos','1','0');</v>
      </c>
    </row>
    <row r="1126">
      <c r="A1126" s="2">
        <v>4398.0</v>
      </c>
      <c r="B1126" s="2">
        <v>744.0</v>
      </c>
      <c r="C1126" s="2">
        <v>2.0</v>
      </c>
      <c r="D1126" s="2" t="s">
        <v>259</v>
      </c>
      <c r="E1126" s="2" t="s">
        <v>2747</v>
      </c>
      <c r="H1126" s="2">
        <v>1.0</v>
      </c>
      <c r="I1126" s="2">
        <v>0.0</v>
      </c>
      <c r="K1126" s="8" t="str">
        <f t="shared" si="1"/>
        <v>CALL InsertOrUpdateAtributosProductos ('4398','744','2','TIPO','Carta 80 gramos','1','0');</v>
      </c>
    </row>
    <row r="1127">
      <c r="A1127" s="2">
        <v>4399.0</v>
      </c>
      <c r="B1127" s="2">
        <v>744.0</v>
      </c>
      <c r="C1127" s="2">
        <v>2.0</v>
      </c>
      <c r="D1127" s="2" t="s">
        <v>259</v>
      </c>
      <c r="E1127" s="2" t="s">
        <v>2748</v>
      </c>
      <c r="H1127" s="2">
        <v>1.0</v>
      </c>
      <c r="I1127" s="2">
        <v>0.0</v>
      </c>
      <c r="K1127" s="8" t="str">
        <f t="shared" si="1"/>
        <v>CALL InsertOrUpdateAtributosProductos ('4399','744','2','TIPO','A4 Celeste 70 gramos','1','0');</v>
      </c>
    </row>
    <row r="1128">
      <c r="A1128" s="2">
        <v>4400.0</v>
      </c>
      <c r="B1128" s="2">
        <v>744.0</v>
      </c>
      <c r="C1128" s="2">
        <v>2.0</v>
      </c>
      <c r="D1128" s="2" t="s">
        <v>259</v>
      </c>
      <c r="E1128" s="2" t="s">
        <v>2749</v>
      </c>
      <c r="H1128" s="2">
        <v>1.0</v>
      </c>
      <c r="I1128" s="2">
        <v>0.0</v>
      </c>
      <c r="K1128" s="8" t="str">
        <f t="shared" si="1"/>
        <v>CALL InsertOrUpdateAtributosProductos ('4400','744','2','TIPO','A4 Rosa 70 gramos','1','0');</v>
      </c>
    </row>
    <row r="1129">
      <c r="A1129" s="2">
        <v>4401.0</v>
      </c>
      <c r="B1129" s="2">
        <v>744.0</v>
      </c>
      <c r="C1129" s="2">
        <v>2.0</v>
      </c>
      <c r="D1129" s="2" t="s">
        <v>259</v>
      </c>
      <c r="E1129" s="2" t="s">
        <v>2750</v>
      </c>
      <c r="H1129" s="2">
        <v>1.0</v>
      </c>
      <c r="I1129" s="2">
        <v>0.0</v>
      </c>
      <c r="K1129" s="8" t="str">
        <f t="shared" si="1"/>
        <v>CALL InsertOrUpdateAtributosProductos ('4401','744','2','TIPO','A4 Verde 70 gramos','1','0');</v>
      </c>
    </row>
    <row r="1130">
      <c r="A1130" s="2">
        <v>4402.0</v>
      </c>
      <c r="B1130" s="2">
        <v>745.0</v>
      </c>
      <c r="C1130" s="2">
        <v>2.0</v>
      </c>
      <c r="D1130" s="2" t="s">
        <v>259</v>
      </c>
      <c r="E1130" s="2" t="s">
        <v>2751</v>
      </c>
      <c r="H1130" s="2">
        <v>1.0</v>
      </c>
      <c r="I1130" s="2">
        <v>0.0</v>
      </c>
      <c r="K1130" s="8" t="str">
        <f t="shared" si="1"/>
        <v>CALL InsertOrUpdateAtributosProductos ('4402','745','2','TIPO','A4 110 gr 100 hojas','1','0');</v>
      </c>
    </row>
    <row r="1131">
      <c r="A1131" s="2">
        <v>4403.0</v>
      </c>
      <c r="B1131" s="2">
        <v>745.0</v>
      </c>
      <c r="C1131" s="2">
        <v>2.0</v>
      </c>
      <c r="D1131" s="2" t="s">
        <v>259</v>
      </c>
      <c r="E1131" s="2" t="s">
        <v>2752</v>
      </c>
      <c r="H1131" s="2">
        <v>1.0</v>
      </c>
      <c r="I1131" s="2">
        <v>0.0</v>
      </c>
      <c r="K1131" s="8" t="str">
        <f t="shared" si="1"/>
        <v>CALL InsertOrUpdateAtributosProductos ('4403','745','2','TIPO','A4 120 gr 100 hojas','1','0');</v>
      </c>
    </row>
    <row r="1132">
      <c r="A1132" s="2">
        <v>4404.0</v>
      </c>
      <c r="B1132" s="2">
        <v>745.0</v>
      </c>
      <c r="C1132" s="2">
        <v>2.0</v>
      </c>
      <c r="D1132" s="2" t="s">
        <v>259</v>
      </c>
      <c r="E1132" s="2" t="s">
        <v>2753</v>
      </c>
      <c r="H1132" s="2">
        <v>1.0</v>
      </c>
      <c r="I1132" s="2">
        <v>0.0</v>
      </c>
      <c r="K1132" s="8" t="str">
        <f t="shared" si="1"/>
        <v>CALL InsertOrUpdateAtributosProductos ('4404','745','2','TIPO','A4 130 gr 100 hojas','1','0');</v>
      </c>
    </row>
    <row r="1133">
      <c r="A1133" s="2">
        <v>4405.0</v>
      </c>
      <c r="B1133" s="2">
        <v>745.0</v>
      </c>
      <c r="C1133" s="2">
        <v>2.0</v>
      </c>
      <c r="D1133" s="2" t="s">
        <v>259</v>
      </c>
      <c r="E1133" s="2" t="s">
        <v>2754</v>
      </c>
      <c r="H1133" s="2">
        <v>1.0</v>
      </c>
      <c r="I1133" s="2">
        <v>0.0</v>
      </c>
      <c r="K1133" s="8" t="str">
        <f t="shared" si="1"/>
        <v>CALL InsertOrUpdateAtributosProductos ('4405','745','2','TIPO','A4 140 gr 100 hojas','1','0');</v>
      </c>
    </row>
    <row r="1134">
      <c r="A1134" s="2">
        <v>4406.0</v>
      </c>
      <c r="B1134" s="2">
        <v>745.0</v>
      </c>
      <c r="C1134" s="2">
        <v>2.0</v>
      </c>
      <c r="D1134" s="2" t="s">
        <v>259</v>
      </c>
      <c r="E1134" s="2" t="s">
        <v>2755</v>
      </c>
      <c r="H1134" s="2">
        <v>1.0</v>
      </c>
      <c r="I1134" s="2">
        <v>0.0</v>
      </c>
      <c r="K1134" s="8" t="str">
        <f t="shared" si="1"/>
        <v>CALL InsertOrUpdateAtributosProductos ('4406','745','2','TIPO','A4 160 gr 100 hojas','1','0');</v>
      </c>
    </row>
    <row r="1135">
      <c r="A1135" s="2">
        <v>4407.0</v>
      </c>
      <c r="B1135" s="2">
        <v>745.0</v>
      </c>
      <c r="C1135" s="2">
        <v>2.0</v>
      </c>
      <c r="D1135" s="2" t="s">
        <v>259</v>
      </c>
      <c r="E1135" s="2" t="s">
        <v>2756</v>
      </c>
      <c r="H1135" s="2">
        <v>1.0</v>
      </c>
      <c r="I1135" s="2">
        <v>0.0</v>
      </c>
      <c r="K1135" s="8" t="str">
        <f t="shared" si="1"/>
        <v>CALL InsertOrUpdateAtributosProductos ('4407','745','2','TIPO','A4 180 gr 100 hojas','1','0');</v>
      </c>
    </row>
    <row r="1136">
      <c r="A1136" s="2">
        <v>4408.0</v>
      </c>
      <c r="B1136" s="2">
        <v>745.0</v>
      </c>
      <c r="C1136" s="2">
        <v>2.0</v>
      </c>
      <c r="D1136" s="2" t="s">
        <v>259</v>
      </c>
      <c r="E1136" s="2" t="s">
        <v>2757</v>
      </c>
      <c r="H1136" s="2">
        <v>1.0</v>
      </c>
      <c r="I1136" s="2">
        <v>0.0</v>
      </c>
      <c r="K1136" s="8" t="str">
        <f t="shared" si="1"/>
        <v>CALL InsertOrUpdateAtributosProductos ('4408','745','2','TIPO','A4 200 gr 100 hojas','1','0');</v>
      </c>
    </row>
    <row r="1137">
      <c r="A1137" s="2">
        <v>4409.0</v>
      </c>
      <c r="B1137" s="2">
        <v>745.0</v>
      </c>
      <c r="C1137" s="2">
        <v>2.0</v>
      </c>
      <c r="D1137" s="2" t="s">
        <v>259</v>
      </c>
      <c r="E1137" s="2" t="s">
        <v>2758</v>
      </c>
      <c r="H1137" s="2">
        <v>1.0</v>
      </c>
      <c r="I1137" s="2">
        <v>0.0</v>
      </c>
      <c r="K1137" s="8" t="str">
        <f t="shared" si="1"/>
        <v>CALL InsertOrUpdateAtributosProductos ('4409','745','2','TIPO','A4 200 gr 20 hojas','1','0');</v>
      </c>
    </row>
    <row r="1138">
      <c r="A1138" s="2">
        <v>4410.0</v>
      </c>
      <c r="B1138" s="2">
        <v>745.0</v>
      </c>
      <c r="C1138" s="2">
        <v>2.0</v>
      </c>
      <c r="D1138" s="2" t="s">
        <v>259</v>
      </c>
      <c r="E1138" s="2" t="s">
        <v>2759</v>
      </c>
      <c r="H1138" s="2">
        <v>1.0</v>
      </c>
      <c r="I1138" s="2">
        <v>0.0</v>
      </c>
      <c r="K1138" s="8" t="str">
        <f t="shared" si="1"/>
        <v>CALL InsertOrUpdateAtributosProductos ('4410','745','2','TIPO','A3 200gr 20 hojas','1','0');</v>
      </c>
    </row>
    <row r="1139">
      <c r="A1139" s="2">
        <v>4411.0</v>
      </c>
      <c r="B1139" s="2">
        <v>747.0</v>
      </c>
      <c r="C1139" s="2">
        <v>8.0</v>
      </c>
      <c r="D1139" s="2" t="s">
        <v>581</v>
      </c>
      <c r="E1139" s="2" t="s">
        <v>2221</v>
      </c>
      <c r="H1139" s="2">
        <v>1.0</v>
      </c>
      <c r="I1139" s="2">
        <v>0.0</v>
      </c>
      <c r="K1139" s="8" t="str">
        <f t="shared" si="1"/>
        <v>CALL InsertOrUpdateAtributosProductos ('4411','747','8','COLOR','Negro','1','0');</v>
      </c>
    </row>
    <row r="1140">
      <c r="A1140" s="2">
        <v>4412.0</v>
      </c>
      <c r="B1140" s="2">
        <v>747.0</v>
      </c>
      <c r="C1140" s="2">
        <v>8.0</v>
      </c>
      <c r="D1140" s="2" t="s">
        <v>581</v>
      </c>
      <c r="E1140" s="2" t="s">
        <v>2224</v>
      </c>
      <c r="H1140" s="2">
        <v>1.0</v>
      </c>
      <c r="I1140" s="2">
        <v>0.0</v>
      </c>
      <c r="K1140" s="8" t="str">
        <f t="shared" si="1"/>
        <v>CALL InsertOrUpdateAtributosProductos ('4412','747','8','COLOR','Gris','1','0');</v>
      </c>
    </row>
    <row r="1141">
      <c r="A1141" s="2">
        <v>4413.0</v>
      </c>
      <c r="B1141" s="2">
        <v>747.0</v>
      </c>
      <c r="C1141" s="2">
        <v>8.0</v>
      </c>
      <c r="D1141" s="2" t="s">
        <v>581</v>
      </c>
      <c r="E1141" s="2" t="s">
        <v>2231</v>
      </c>
      <c r="H1141" s="2">
        <v>1.0</v>
      </c>
      <c r="I1141" s="2">
        <v>0.0</v>
      </c>
      <c r="K1141" s="8" t="str">
        <f t="shared" si="1"/>
        <v>CALL InsertOrUpdateAtributosProductos ('4413','747','8','COLOR','Rojo','1','0');</v>
      </c>
    </row>
    <row r="1142">
      <c r="A1142" s="2">
        <v>4414.0</v>
      </c>
      <c r="B1142" s="2">
        <v>747.0</v>
      </c>
      <c r="C1142" s="2">
        <v>8.0</v>
      </c>
      <c r="D1142" s="2" t="s">
        <v>581</v>
      </c>
      <c r="E1142" s="2" t="s">
        <v>2226</v>
      </c>
      <c r="H1142" s="2">
        <v>1.0</v>
      </c>
      <c r="I1142" s="2">
        <v>0.0</v>
      </c>
      <c r="K1142" s="8" t="str">
        <f t="shared" si="1"/>
        <v>CALL InsertOrUpdateAtributosProductos ('4414','747','8','COLOR','Naranja','1','0');</v>
      </c>
    </row>
    <row r="1143">
      <c r="A1143" s="2">
        <v>4415.0</v>
      </c>
      <c r="B1143" s="2">
        <v>747.0</v>
      </c>
      <c r="C1143" s="2">
        <v>8.0</v>
      </c>
      <c r="D1143" s="2" t="s">
        <v>581</v>
      </c>
      <c r="E1143" s="2" t="s">
        <v>2398</v>
      </c>
      <c r="H1143" s="2">
        <v>1.0</v>
      </c>
      <c r="I1143" s="2">
        <v>0.0</v>
      </c>
      <c r="K1143" s="8" t="str">
        <f t="shared" si="1"/>
        <v>CALL InsertOrUpdateAtributosProductos ('4415','747','8','COLOR','Verde','1','0');</v>
      </c>
    </row>
    <row r="1144">
      <c r="A1144" s="2">
        <v>4416.0</v>
      </c>
      <c r="B1144" s="2">
        <v>747.0</v>
      </c>
      <c r="C1144" s="2">
        <v>8.0</v>
      </c>
      <c r="D1144" s="2" t="s">
        <v>581</v>
      </c>
      <c r="E1144" s="2" t="s">
        <v>2222</v>
      </c>
      <c r="H1144" s="2">
        <v>1.0</v>
      </c>
      <c r="I1144" s="2">
        <v>0.0</v>
      </c>
      <c r="K1144" s="8" t="str">
        <f t="shared" si="1"/>
        <v>CALL InsertOrUpdateAtributosProductos ('4416','747','8','COLOR','Amarillo','1','0');</v>
      </c>
    </row>
    <row r="1145">
      <c r="A1145" s="2">
        <v>4417.0</v>
      </c>
      <c r="B1145" s="2">
        <v>750.0</v>
      </c>
      <c r="C1145" s="2">
        <v>19.0</v>
      </c>
      <c r="D1145" s="2" t="s">
        <v>1932</v>
      </c>
      <c r="E1145" s="2" t="s">
        <v>2760</v>
      </c>
      <c r="H1145" s="2">
        <v>1.0</v>
      </c>
      <c r="I1145" s="2">
        <v>0.0</v>
      </c>
      <c r="K1145" s="8" t="str">
        <f t="shared" si="1"/>
        <v>CALL InsertOrUpdateAtributosProductos ('4417','750','19','METROS','30 mts','1','0');</v>
      </c>
    </row>
    <row r="1146">
      <c r="A1146" s="2">
        <v>4418.0</v>
      </c>
      <c r="B1146" s="2">
        <v>750.0</v>
      </c>
      <c r="C1146" s="2">
        <v>19.0</v>
      </c>
      <c r="D1146" s="2" t="s">
        <v>1932</v>
      </c>
      <c r="E1146" s="2" t="s">
        <v>2761</v>
      </c>
      <c r="H1146" s="2">
        <v>1.0</v>
      </c>
      <c r="I1146" s="2">
        <v>0.0</v>
      </c>
      <c r="K1146" s="8" t="str">
        <f t="shared" si="1"/>
        <v>CALL InsertOrUpdateAtributosProductos ('4418','750','19','METROS','60 mts','1','0');</v>
      </c>
    </row>
    <row r="1147">
      <c r="A1147" s="2">
        <v>4419.0</v>
      </c>
      <c r="B1147" s="2">
        <v>753.0</v>
      </c>
      <c r="C1147" s="2">
        <v>20.0</v>
      </c>
      <c r="D1147" s="2" t="s">
        <v>1942</v>
      </c>
      <c r="E1147" s="2" t="s">
        <v>2590</v>
      </c>
      <c r="H1147" s="2">
        <v>1.0</v>
      </c>
      <c r="I1147" s="2">
        <v>0.0</v>
      </c>
      <c r="K1147" s="8" t="str">
        <f t="shared" si="1"/>
        <v>CALL InsertOrUpdateAtributosProductos ('4419','753','20','ESPESOR','12 mm','1','0');</v>
      </c>
    </row>
    <row r="1148">
      <c r="A1148" s="2">
        <v>4420.0</v>
      </c>
      <c r="B1148" s="2">
        <v>753.0</v>
      </c>
      <c r="C1148" s="2">
        <v>20.0</v>
      </c>
      <c r="D1148" s="2" t="s">
        <v>1942</v>
      </c>
      <c r="E1148" s="2" t="s">
        <v>2290</v>
      </c>
      <c r="H1148" s="2">
        <v>1.0</v>
      </c>
      <c r="I1148" s="2">
        <v>0.0</v>
      </c>
      <c r="K1148" s="8" t="str">
        <f t="shared" si="1"/>
        <v>CALL InsertOrUpdateAtributosProductos ('4420','753','20','ESPESOR','18 mm','1','0');</v>
      </c>
    </row>
    <row r="1149">
      <c r="A1149" s="2">
        <v>4421.0</v>
      </c>
      <c r="B1149" s="2">
        <v>753.0</v>
      </c>
      <c r="C1149" s="2">
        <v>20.0</v>
      </c>
      <c r="D1149" s="2" t="s">
        <v>1942</v>
      </c>
      <c r="E1149" s="2" t="s">
        <v>2291</v>
      </c>
      <c r="H1149" s="2">
        <v>1.0</v>
      </c>
      <c r="I1149" s="2">
        <v>0.0</v>
      </c>
      <c r="K1149" s="8" t="str">
        <f t="shared" si="1"/>
        <v>CALL InsertOrUpdateAtributosProductos ('4421','753','20','ESPESOR','24 mm','1','0');</v>
      </c>
    </row>
    <row r="1150">
      <c r="A1150" s="2">
        <v>4422.0</v>
      </c>
      <c r="B1150" s="2">
        <v>753.0</v>
      </c>
      <c r="C1150" s="2">
        <v>20.0</v>
      </c>
      <c r="D1150" s="2" t="s">
        <v>1942</v>
      </c>
      <c r="E1150" s="2" t="s">
        <v>2292</v>
      </c>
      <c r="H1150" s="2">
        <v>1.0</v>
      </c>
      <c r="I1150" s="2">
        <v>0.0</v>
      </c>
      <c r="K1150" s="8" t="str">
        <f t="shared" si="1"/>
        <v>CALL InsertOrUpdateAtributosProductos ('4422','753','20','ESPESOR','36 mm','1','0');</v>
      </c>
    </row>
    <row r="1151">
      <c r="A1151" s="2">
        <v>4423.0</v>
      </c>
      <c r="B1151" s="2">
        <v>753.0</v>
      </c>
      <c r="C1151" s="2">
        <v>20.0</v>
      </c>
      <c r="D1151" s="2" t="s">
        <v>1942</v>
      </c>
      <c r="E1151" s="2" t="s">
        <v>2293</v>
      </c>
      <c r="H1151" s="2">
        <v>1.0</v>
      </c>
      <c r="I1151" s="2">
        <v>0.0</v>
      </c>
      <c r="K1151" s="8" t="str">
        <f t="shared" si="1"/>
        <v>CALL InsertOrUpdateAtributosProductos ('4423','753','20','ESPESOR','48 mm','1','0');</v>
      </c>
    </row>
    <row r="1152">
      <c r="A1152" s="2">
        <v>4424.0</v>
      </c>
      <c r="B1152" s="2">
        <v>754.0</v>
      </c>
      <c r="C1152" s="2">
        <v>8.0</v>
      </c>
      <c r="D1152" s="2" t="s">
        <v>581</v>
      </c>
      <c r="E1152" s="2" t="s">
        <v>2762</v>
      </c>
      <c r="H1152" s="2">
        <v>1.0</v>
      </c>
      <c r="I1152" s="2">
        <v>0.0</v>
      </c>
      <c r="K1152" s="8" t="str">
        <f t="shared" si="1"/>
        <v>CALL InsertOrUpdateAtributosProductos ('4424','754','8','COLOR','Azul','1','0');</v>
      </c>
    </row>
    <row r="1153">
      <c r="A1153" s="2">
        <v>4425.0</v>
      </c>
      <c r="B1153" s="2">
        <v>754.0</v>
      </c>
      <c r="C1153" s="2">
        <v>8.0</v>
      </c>
      <c r="D1153" s="2" t="s">
        <v>581</v>
      </c>
      <c r="E1153" s="2" t="s">
        <v>2221</v>
      </c>
      <c r="H1153" s="2">
        <v>1.0</v>
      </c>
      <c r="I1153" s="2">
        <v>0.0</v>
      </c>
      <c r="K1153" s="8" t="str">
        <f t="shared" si="1"/>
        <v>CALL InsertOrUpdateAtributosProductos ('4425','754','8','COLOR','Negro','1','0');</v>
      </c>
    </row>
    <row r="1154">
      <c r="A1154" s="2">
        <v>4426.0</v>
      </c>
      <c r="B1154" s="2">
        <v>754.0</v>
      </c>
      <c r="C1154" s="2">
        <v>8.0</v>
      </c>
      <c r="D1154" s="2" t="s">
        <v>581</v>
      </c>
      <c r="E1154" s="2" t="s">
        <v>2231</v>
      </c>
      <c r="H1154" s="2">
        <v>1.0</v>
      </c>
      <c r="I1154" s="2">
        <v>0.0</v>
      </c>
      <c r="K1154" s="8" t="str">
        <f t="shared" si="1"/>
        <v>CALL InsertOrUpdateAtributosProductos ('4426','754','8','COLOR','Rojo','1','0');</v>
      </c>
    </row>
    <row r="1155">
      <c r="A1155" s="2">
        <v>4427.0</v>
      </c>
      <c r="B1155" s="2">
        <v>754.0</v>
      </c>
      <c r="C1155" s="2">
        <v>8.0</v>
      </c>
      <c r="D1155" s="2" t="s">
        <v>581</v>
      </c>
      <c r="E1155" s="2" t="s">
        <v>2398</v>
      </c>
      <c r="H1155" s="2">
        <v>1.0</v>
      </c>
      <c r="I1155" s="2">
        <v>0.0</v>
      </c>
      <c r="K1155" s="8" t="str">
        <f t="shared" si="1"/>
        <v>CALL InsertOrUpdateAtributosProductos ('4427','754','8','COLOR','Verde','1','0');</v>
      </c>
    </row>
    <row r="1156">
      <c r="A1156" s="2">
        <v>4428.0</v>
      </c>
      <c r="B1156" s="2">
        <v>755.0</v>
      </c>
      <c r="C1156" s="2">
        <v>8.0</v>
      </c>
      <c r="D1156" s="2" t="s">
        <v>581</v>
      </c>
      <c r="E1156" s="2" t="s">
        <v>2762</v>
      </c>
      <c r="H1156" s="2">
        <v>1.0</v>
      </c>
      <c r="I1156" s="2">
        <v>0.0</v>
      </c>
      <c r="K1156" s="8" t="str">
        <f t="shared" si="1"/>
        <v>CALL InsertOrUpdateAtributosProductos ('4428','755','8','COLOR','Azul','1','0');</v>
      </c>
    </row>
    <row r="1157">
      <c r="A1157" s="2">
        <v>4429.0</v>
      </c>
      <c r="B1157" s="2">
        <v>755.0</v>
      </c>
      <c r="C1157" s="2">
        <v>8.0</v>
      </c>
      <c r="D1157" s="2" t="s">
        <v>581</v>
      </c>
      <c r="E1157" s="2" t="s">
        <v>2221</v>
      </c>
      <c r="H1157" s="2">
        <v>1.0</v>
      </c>
      <c r="I1157" s="2">
        <v>0.0</v>
      </c>
      <c r="K1157" s="8" t="str">
        <f t="shared" si="1"/>
        <v>CALL InsertOrUpdateAtributosProductos ('4429','755','8','COLOR','Negro','1','0');</v>
      </c>
    </row>
    <row r="1158">
      <c r="A1158" s="2">
        <v>4430.0</v>
      </c>
      <c r="B1158" s="2">
        <v>755.0</v>
      </c>
      <c r="C1158" s="2">
        <v>8.0</v>
      </c>
      <c r="D1158" s="2" t="s">
        <v>581</v>
      </c>
      <c r="E1158" s="2" t="s">
        <v>2231</v>
      </c>
      <c r="H1158" s="2">
        <v>1.0</v>
      </c>
      <c r="I1158" s="2">
        <v>0.0</v>
      </c>
      <c r="K1158" s="8" t="str">
        <f t="shared" si="1"/>
        <v>CALL InsertOrUpdateAtributosProductos ('4430','755','8','COLOR','Rojo','1','0');</v>
      </c>
    </row>
    <row r="1159">
      <c r="A1159" s="2">
        <v>4431.0</v>
      </c>
      <c r="B1159" s="2">
        <v>755.0</v>
      </c>
      <c r="C1159" s="2">
        <v>8.0</v>
      </c>
      <c r="D1159" s="2" t="s">
        <v>581</v>
      </c>
      <c r="E1159" s="2" t="s">
        <v>2398</v>
      </c>
      <c r="H1159" s="2">
        <v>1.0</v>
      </c>
      <c r="I1159" s="2">
        <v>0.0</v>
      </c>
      <c r="K1159" s="8" t="str">
        <f t="shared" si="1"/>
        <v>CALL InsertOrUpdateAtributosProductos ('4431','755','8','COLOR','Verde','1','0');</v>
      </c>
    </row>
    <row r="1160">
      <c r="A1160" s="2">
        <v>4432.0</v>
      </c>
      <c r="B1160" s="2">
        <v>756.0</v>
      </c>
      <c r="C1160" s="2">
        <v>8.0</v>
      </c>
      <c r="D1160" s="2" t="s">
        <v>581</v>
      </c>
      <c r="E1160" s="2" t="s">
        <v>2222</v>
      </c>
      <c r="H1160" s="2">
        <v>1.0</v>
      </c>
      <c r="I1160" s="2">
        <v>0.0</v>
      </c>
      <c r="K1160" s="8" t="str">
        <f t="shared" si="1"/>
        <v>CALL InsertOrUpdateAtributosProductos ('4432','756','8','COLOR','Amarillo','1','0');</v>
      </c>
    </row>
    <row r="1161">
      <c r="A1161" s="2">
        <v>4433.0</v>
      </c>
      <c r="B1161" s="2">
        <v>756.0</v>
      </c>
      <c r="C1161" s="2">
        <v>8.0</v>
      </c>
      <c r="D1161" s="2" t="s">
        <v>581</v>
      </c>
      <c r="E1161" s="2" t="s">
        <v>2398</v>
      </c>
      <c r="H1161" s="2">
        <v>1.0</v>
      </c>
      <c r="I1161" s="2">
        <v>0.0</v>
      </c>
      <c r="K1161" s="8" t="str">
        <f t="shared" si="1"/>
        <v>CALL InsertOrUpdateAtributosProductos ('4433','756','8','COLOR','Verde','1','0');</v>
      </c>
    </row>
    <row r="1162">
      <c r="A1162" s="2">
        <v>4434.0</v>
      </c>
      <c r="B1162" s="2">
        <v>756.0</v>
      </c>
      <c r="C1162" s="2">
        <v>8.0</v>
      </c>
      <c r="D1162" s="2" t="s">
        <v>581</v>
      </c>
      <c r="E1162" s="2" t="s">
        <v>2618</v>
      </c>
      <c r="H1162" s="2">
        <v>1.0</v>
      </c>
      <c r="I1162" s="2">
        <v>0.0</v>
      </c>
      <c r="K1162" s="8" t="str">
        <f t="shared" si="1"/>
        <v>CALL InsertOrUpdateAtributosProductos ('4434','756','8','COLOR','Celeste','1','0');</v>
      </c>
    </row>
    <row r="1163">
      <c r="A1163" s="2">
        <v>4435.0</v>
      </c>
      <c r="B1163" s="2">
        <v>756.0</v>
      </c>
      <c r="C1163" s="2">
        <v>8.0</v>
      </c>
      <c r="D1163" s="2" t="s">
        <v>581</v>
      </c>
      <c r="E1163" s="2" t="s">
        <v>2231</v>
      </c>
      <c r="H1163" s="2">
        <v>1.0</v>
      </c>
      <c r="I1163" s="2">
        <v>0.0</v>
      </c>
      <c r="K1163" s="8" t="str">
        <f t="shared" si="1"/>
        <v>CALL InsertOrUpdateAtributosProductos ('4435','756','8','COLOR','Rojo','1','0');</v>
      </c>
    </row>
    <row r="1164">
      <c r="A1164" s="2">
        <v>4436.0</v>
      </c>
      <c r="B1164" s="2">
        <v>756.0</v>
      </c>
      <c r="C1164" s="2">
        <v>8.0</v>
      </c>
      <c r="D1164" s="2" t="s">
        <v>581</v>
      </c>
      <c r="E1164" s="2" t="s">
        <v>2763</v>
      </c>
      <c r="H1164" s="2">
        <v>1.0</v>
      </c>
      <c r="I1164" s="2">
        <v>0.0</v>
      </c>
      <c r="K1164" s="8" t="str">
        <f t="shared" si="1"/>
        <v>CALL InsertOrUpdateAtributosProductos ('4436','756','8','COLOR','Rosa','1','0');</v>
      </c>
    </row>
    <row r="1165">
      <c r="A1165" s="2">
        <v>4437.0</v>
      </c>
      <c r="B1165" s="2">
        <v>756.0</v>
      </c>
      <c r="C1165" s="2">
        <v>8.0</v>
      </c>
      <c r="D1165" s="2" t="s">
        <v>581</v>
      </c>
      <c r="E1165" s="2" t="s">
        <v>2764</v>
      </c>
      <c r="H1165" s="2">
        <v>1.0</v>
      </c>
      <c r="I1165" s="2">
        <v>0.0</v>
      </c>
      <c r="K1165" s="8" t="str">
        <f t="shared" si="1"/>
        <v>CALL InsertOrUpdateAtributosProductos ('4437','756','8','COLOR','Combinado','1','0');</v>
      </c>
    </row>
    <row r="1166">
      <c r="A1166" s="2">
        <v>4438.0</v>
      </c>
      <c r="B1166" s="2">
        <v>759.0</v>
      </c>
      <c r="C1166" s="2">
        <v>8.0</v>
      </c>
      <c r="D1166" s="2" t="s">
        <v>581</v>
      </c>
      <c r="E1166" s="2" t="s">
        <v>2221</v>
      </c>
      <c r="H1166" s="2">
        <v>1.0</v>
      </c>
      <c r="I1166" s="2">
        <v>0.0</v>
      </c>
      <c r="K1166" s="8" t="str">
        <f t="shared" si="1"/>
        <v>CALL InsertOrUpdateAtributosProductos ('4438','759','8','COLOR','Negro','1','0');</v>
      </c>
    </row>
    <row r="1167">
      <c r="A1167" s="2">
        <v>4439.0</v>
      </c>
      <c r="B1167" s="2">
        <v>759.0</v>
      </c>
      <c r="C1167" s="2">
        <v>8.0</v>
      </c>
      <c r="D1167" s="2" t="s">
        <v>581</v>
      </c>
      <c r="E1167" s="2" t="s">
        <v>2762</v>
      </c>
      <c r="H1167" s="2">
        <v>1.0</v>
      </c>
      <c r="I1167" s="2">
        <v>0.0</v>
      </c>
      <c r="K1167" s="8" t="str">
        <f t="shared" si="1"/>
        <v>CALL InsertOrUpdateAtributosProductos ('4439','759','8','COLOR','Azul','1','0');</v>
      </c>
    </row>
    <row r="1168">
      <c r="A1168" s="2">
        <v>4440.0</v>
      </c>
      <c r="B1168" s="2">
        <v>759.0</v>
      </c>
      <c r="C1168" s="2">
        <v>8.0</v>
      </c>
      <c r="D1168" s="2" t="s">
        <v>581</v>
      </c>
      <c r="E1168" s="2" t="s">
        <v>2398</v>
      </c>
      <c r="H1168" s="2">
        <v>1.0</v>
      </c>
      <c r="I1168" s="2">
        <v>0.0</v>
      </c>
      <c r="K1168" s="8" t="str">
        <f t="shared" si="1"/>
        <v>CALL InsertOrUpdateAtributosProductos ('4440','759','8','COLOR','Verde','1','0');</v>
      </c>
    </row>
    <row r="1169">
      <c r="A1169" s="2">
        <v>4441.0</v>
      </c>
      <c r="B1169" s="2">
        <v>759.0</v>
      </c>
      <c r="C1169" s="2">
        <v>8.0</v>
      </c>
      <c r="D1169" s="2" t="s">
        <v>581</v>
      </c>
      <c r="E1169" s="2" t="s">
        <v>2231</v>
      </c>
      <c r="H1169" s="2">
        <v>1.0</v>
      </c>
      <c r="I1169" s="2">
        <v>0.0</v>
      </c>
      <c r="K1169" s="8" t="str">
        <f t="shared" si="1"/>
        <v>CALL InsertOrUpdateAtributosProductos ('4441','759','8','COLOR','Rojo','1','0');</v>
      </c>
    </row>
    <row r="1170">
      <c r="A1170" s="2">
        <v>4442.0</v>
      </c>
      <c r="B1170" s="2">
        <v>759.0</v>
      </c>
      <c r="C1170" s="2">
        <v>8.0</v>
      </c>
      <c r="D1170" s="2" t="s">
        <v>581</v>
      </c>
      <c r="E1170" s="2" t="s">
        <v>2764</v>
      </c>
      <c r="H1170" s="2">
        <v>1.0</v>
      </c>
      <c r="I1170" s="2">
        <v>0.0</v>
      </c>
      <c r="K1170" s="8" t="str">
        <f t="shared" si="1"/>
        <v>CALL InsertOrUpdateAtributosProductos ('4442','759','8','COLOR','Combinado','1','0');</v>
      </c>
    </row>
    <row r="1171">
      <c r="A1171" s="2">
        <v>4443.0</v>
      </c>
      <c r="B1171" s="2">
        <v>760.0</v>
      </c>
      <c r="C1171" s="2">
        <v>8.0</v>
      </c>
      <c r="D1171" s="2" t="s">
        <v>581</v>
      </c>
      <c r="E1171" s="2" t="s">
        <v>2221</v>
      </c>
      <c r="H1171" s="2">
        <v>1.0</v>
      </c>
      <c r="I1171" s="2">
        <v>0.0</v>
      </c>
      <c r="K1171" s="8" t="str">
        <f t="shared" si="1"/>
        <v>CALL InsertOrUpdateAtributosProductos ('4443','760','8','COLOR','Negro','1','0');</v>
      </c>
    </row>
    <row r="1172">
      <c r="A1172" s="2">
        <v>4444.0</v>
      </c>
      <c r="B1172" s="2">
        <v>760.0</v>
      </c>
      <c r="C1172" s="2">
        <v>8.0</v>
      </c>
      <c r="D1172" s="2" t="s">
        <v>581</v>
      </c>
      <c r="E1172" s="2" t="s">
        <v>2762</v>
      </c>
      <c r="H1172" s="2">
        <v>1.0</v>
      </c>
      <c r="I1172" s="2">
        <v>0.0</v>
      </c>
      <c r="K1172" s="8" t="str">
        <f t="shared" si="1"/>
        <v>CALL InsertOrUpdateAtributosProductos ('4444','760','8','COLOR','Azul','1','0');</v>
      </c>
    </row>
    <row r="1173">
      <c r="A1173" s="2">
        <v>4445.0</v>
      </c>
      <c r="B1173" s="2">
        <v>760.0</v>
      </c>
      <c r="C1173" s="2">
        <v>8.0</v>
      </c>
      <c r="D1173" s="2" t="s">
        <v>581</v>
      </c>
      <c r="E1173" s="2" t="s">
        <v>2398</v>
      </c>
      <c r="H1173" s="2">
        <v>1.0</v>
      </c>
      <c r="I1173" s="2">
        <v>0.0</v>
      </c>
      <c r="K1173" s="8" t="str">
        <f t="shared" si="1"/>
        <v>CALL InsertOrUpdateAtributosProductos ('4445','760','8','COLOR','Verde','1','0');</v>
      </c>
    </row>
    <row r="1174">
      <c r="A1174" s="2">
        <v>4446.0</v>
      </c>
      <c r="B1174" s="2">
        <v>760.0</v>
      </c>
      <c r="C1174" s="2">
        <v>8.0</v>
      </c>
      <c r="D1174" s="2" t="s">
        <v>581</v>
      </c>
      <c r="E1174" s="2" t="s">
        <v>2231</v>
      </c>
      <c r="H1174" s="2">
        <v>1.0</v>
      </c>
      <c r="I1174" s="2">
        <v>0.0</v>
      </c>
      <c r="K1174" s="8" t="str">
        <f t="shared" si="1"/>
        <v>CALL InsertOrUpdateAtributosProductos ('4446','760','8','COLOR','Rojo','1','0');</v>
      </c>
    </row>
    <row r="1175">
      <c r="A1175" s="2">
        <v>4447.0</v>
      </c>
      <c r="B1175" s="2">
        <v>760.0</v>
      </c>
      <c r="C1175" s="2">
        <v>8.0</v>
      </c>
      <c r="D1175" s="2" t="s">
        <v>581</v>
      </c>
      <c r="E1175" s="2" t="s">
        <v>2764</v>
      </c>
      <c r="H1175" s="2">
        <v>1.0</v>
      </c>
      <c r="I1175" s="2">
        <v>0.0</v>
      </c>
      <c r="K1175" s="8" t="str">
        <f t="shared" si="1"/>
        <v>CALL InsertOrUpdateAtributosProductos ('4447','760','8','COLOR','Combinado','1','0');</v>
      </c>
    </row>
    <row r="1176">
      <c r="A1176" s="2">
        <v>4448.0</v>
      </c>
      <c r="B1176" s="2">
        <v>762.0</v>
      </c>
      <c r="C1176" s="2">
        <v>8.0</v>
      </c>
      <c r="D1176" s="2" t="s">
        <v>581</v>
      </c>
      <c r="E1176" s="2" t="s">
        <v>2221</v>
      </c>
      <c r="H1176" s="2">
        <v>1.0</v>
      </c>
      <c r="I1176" s="2">
        <v>0.0</v>
      </c>
      <c r="K1176" s="8" t="str">
        <f t="shared" si="1"/>
        <v>CALL InsertOrUpdateAtributosProductos ('4448','762','8','COLOR','Negro','1','0');</v>
      </c>
    </row>
    <row r="1177">
      <c r="A1177" s="2">
        <v>4449.0</v>
      </c>
      <c r="B1177" s="2">
        <v>762.0</v>
      </c>
      <c r="C1177" s="2">
        <v>8.0</v>
      </c>
      <c r="D1177" s="2" t="s">
        <v>581</v>
      </c>
      <c r="E1177" s="2" t="s">
        <v>2231</v>
      </c>
      <c r="H1177" s="2">
        <v>1.0</v>
      </c>
      <c r="I1177" s="2">
        <v>0.0</v>
      </c>
      <c r="K1177" s="8" t="str">
        <f t="shared" si="1"/>
        <v>CALL InsertOrUpdateAtributosProductos ('4449','762','8','COLOR','Rojo','1','0');</v>
      </c>
    </row>
    <row r="1178">
      <c r="A1178" s="2">
        <v>4450.0</v>
      </c>
      <c r="B1178" s="2">
        <v>762.0</v>
      </c>
      <c r="C1178" s="2">
        <v>8.0</v>
      </c>
      <c r="D1178" s="2" t="s">
        <v>581</v>
      </c>
      <c r="E1178" s="2" t="s">
        <v>2398</v>
      </c>
      <c r="H1178" s="2">
        <v>1.0</v>
      </c>
      <c r="I1178" s="2">
        <v>0.0</v>
      </c>
      <c r="K1178" s="8" t="str">
        <f t="shared" si="1"/>
        <v>CALL InsertOrUpdateAtributosProductos ('4450','762','8','COLOR','Verde','1','0');</v>
      </c>
    </row>
    <row r="1179">
      <c r="A1179" s="2">
        <v>4451.0</v>
      </c>
      <c r="B1179" s="2">
        <v>762.0</v>
      </c>
      <c r="C1179" s="2">
        <v>8.0</v>
      </c>
      <c r="D1179" s="2" t="s">
        <v>581</v>
      </c>
      <c r="E1179" s="2" t="s">
        <v>2762</v>
      </c>
      <c r="H1179" s="2">
        <v>1.0</v>
      </c>
      <c r="I1179" s="2">
        <v>0.0</v>
      </c>
      <c r="K1179" s="8" t="str">
        <f t="shared" si="1"/>
        <v>CALL InsertOrUpdateAtributosProductos ('4451','762','8','COLOR','Azul','1','0');</v>
      </c>
    </row>
    <row r="1180">
      <c r="A1180" s="2">
        <v>4452.0</v>
      </c>
      <c r="B1180" s="2">
        <v>763.0</v>
      </c>
      <c r="C1180" s="2">
        <v>8.0</v>
      </c>
      <c r="D1180" s="2" t="s">
        <v>581</v>
      </c>
      <c r="E1180" s="2" t="s">
        <v>2221</v>
      </c>
      <c r="H1180" s="2">
        <v>1.0</v>
      </c>
      <c r="I1180" s="2">
        <v>0.0</v>
      </c>
      <c r="K1180" s="8" t="str">
        <f t="shared" si="1"/>
        <v>CALL InsertOrUpdateAtributosProductos ('4452','763','8','COLOR','Negro','1','0');</v>
      </c>
    </row>
    <row r="1181">
      <c r="A1181" s="2">
        <v>4453.0</v>
      </c>
      <c r="B1181" s="2">
        <v>763.0</v>
      </c>
      <c r="C1181" s="2">
        <v>8.0</v>
      </c>
      <c r="D1181" s="2" t="s">
        <v>581</v>
      </c>
      <c r="E1181" s="2" t="s">
        <v>2231</v>
      </c>
      <c r="H1181" s="2">
        <v>1.0</v>
      </c>
      <c r="I1181" s="2">
        <v>0.0</v>
      </c>
      <c r="K1181" s="8" t="str">
        <f t="shared" si="1"/>
        <v>CALL InsertOrUpdateAtributosProductos ('4453','763','8','COLOR','Rojo','1','0');</v>
      </c>
    </row>
    <row r="1182">
      <c r="A1182" s="2">
        <v>4454.0</v>
      </c>
      <c r="B1182" s="2">
        <v>763.0</v>
      </c>
      <c r="C1182" s="2">
        <v>8.0</v>
      </c>
      <c r="D1182" s="2" t="s">
        <v>581</v>
      </c>
      <c r="E1182" s="2" t="s">
        <v>2398</v>
      </c>
      <c r="H1182" s="2">
        <v>1.0</v>
      </c>
      <c r="I1182" s="2">
        <v>0.0</v>
      </c>
      <c r="K1182" s="8" t="str">
        <f t="shared" si="1"/>
        <v>CALL InsertOrUpdateAtributosProductos ('4454','763','8','COLOR','Verde','1','0');</v>
      </c>
    </row>
    <row r="1183">
      <c r="A1183" s="2">
        <v>4455.0</v>
      </c>
      <c r="B1183" s="2">
        <v>763.0</v>
      </c>
      <c r="C1183" s="2">
        <v>8.0</v>
      </c>
      <c r="D1183" s="2" t="s">
        <v>581</v>
      </c>
      <c r="E1183" s="2" t="s">
        <v>2762</v>
      </c>
      <c r="H1183" s="2">
        <v>1.0</v>
      </c>
      <c r="I1183" s="2">
        <v>0.0</v>
      </c>
      <c r="K1183" s="8" t="str">
        <f t="shared" si="1"/>
        <v>CALL InsertOrUpdateAtributosProductos ('4455','763','8','COLOR','Azul','1','0');</v>
      </c>
    </row>
    <row r="1184">
      <c r="A1184" s="2">
        <v>4456.0</v>
      </c>
      <c r="B1184" s="2">
        <v>764.0</v>
      </c>
      <c r="C1184" s="2">
        <v>8.0</v>
      </c>
      <c r="D1184" s="2" t="s">
        <v>581</v>
      </c>
      <c r="E1184" s="2" t="s">
        <v>2221</v>
      </c>
      <c r="H1184" s="2">
        <v>1.0</v>
      </c>
      <c r="I1184" s="2">
        <v>0.0</v>
      </c>
      <c r="K1184" s="8" t="str">
        <f t="shared" si="1"/>
        <v>CALL InsertOrUpdateAtributosProductos ('4456','764','8','COLOR','Negro','1','0');</v>
      </c>
    </row>
    <row r="1185">
      <c r="A1185" s="2">
        <v>4457.0</v>
      </c>
      <c r="B1185" s="2">
        <v>764.0</v>
      </c>
      <c r="C1185" s="2">
        <v>8.0</v>
      </c>
      <c r="D1185" s="2" t="s">
        <v>581</v>
      </c>
      <c r="E1185" s="2" t="s">
        <v>2231</v>
      </c>
      <c r="H1185" s="2">
        <v>1.0</v>
      </c>
      <c r="I1185" s="2">
        <v>0.0</v>
      </c>
      <c r="K1185" s="8" t="str">
        <f t="shared" si="1"/>
        <v>CALL InsertOrUpdateAtributosProductos ('4457','764','8','COLOR','Rojo','1','0');</v>
      </c>
    </row>
    <row r="1186">
      <c r="A1186" s="2">
        <v>4458.0</v>
      </c>
      <c r="B1186" s="2">
        <v>764.0</v>
      </c>
      <c r="C1186" s="2">
        <v>8.0</v>
      </c>
      <c r="D1186" s="2" t="s">
        <v>581</v>
      </c>
      <c r="E1186" s="2" t="s">
        <v>2398</v>
      </c>
      <c r="H1186" s="2">
        <v>1.0</v>
      </c>
      <c r="I1186" s="2">
        <v>0.0</v>
      </c>
      <c r="K1186" s="8" t="str">
        <f t="shared" si="1"/>
        <v>CALL InsertOrUpdateAtributosProductos ('4458','764','8','COLOR','Verde','1','0');</v>
      </c>
    </row>
    <row r="1187">
      <c r="A1187" s="2">
        <v>4459.0</v>
      </c>
      <c r="B1187" s="2">
        <v>764.0</v>
      </c>
      <c r="C1187" s="2">
        <v>8.0</v>
      </c>
      <c r="D1187" s="2" t="s">
        <v>581</v>
      </c>
      <c r="E1187" s="2" t="s">
        <v>2762</v>
      </c>
      <c r="H1187" s="2">
        <v>1.0</v>
      </c>
      <c r="I1187" s="2">
        <v>0.0</v>
      </c>
      <c r="K1187" s="8" t="str">
        <f t="shared" si="1"/>
        <v>CALL InsertOrUpdateAtributosProductos ('4459','764','8','COLOR','Azul','1','0');</v>
      </c>
    </row>
    <row r="1188">
      <c r="A1188" s="2">
        <v>4460.0</v>
      </c>
      <c r="B1188" s="2">
        <v>765.0</v>
      </c>
      <c r="C1188" s="2">
        <v>2.0</v>
      </c>
      <c r="D1188" s="2" t="s">
        <v>259</v>
      </c>
      <c r="E1188" s="2" t="s">
        <v>2765</v>
      </c>
      <c r="H1188" s="2">
        <v>1.0</v>
      </c>
      <c r="I1188" s="2">
        <v>0.0</v>
      </c>
      <c r="K1188" s="8" t="str">
        <f t="shared" si="1"/>
        <v>CALL InsertOrUpdateAtributosProductos ('4460','765','2','TIPO','Rallado','1','0');</v>
      </c>
    </row>
    <row r="1189">
      <c r="A1189" s="2">
        <v>4461.0</v>
      </c>
      <c r="B1189" s="2">
        <v>765.0</v>
      </c>
      <c r="C1189" s="2">
        <v>2.0</v>
      </c>
      <c r="D1189" s="2" t="s">
        <v>259</v>
      </c>
      <c r="E1189" s="2" t="s">
        <v>2766</v>
      </c>
      <c r="H1189" s="2">
        <v>1.0</v>
      </c>
      <c r="I1189" s="2">
        <v>0.0</v>
      </c>
      <c r="K1189" s="8" t="str">
        <f t="shared" si="1"/>
        <v>CALL InsertOrUpdateAtributosProductos ('4461','765','2','TIPO','Cuadriculado','1','0');</v>
      </c>
    </row>
    <row r="1190">
      <c r="A1190" s="2">
        <v>4462.0</v>
      </c>
      <c r="B1190" s="2">
        <v>765.0</v>
      </c>
      <c r="C1190" s="2">
        <v>2.0</v>
      </c>
      <c r="D1190" s="2" t="s">
        <v>259</v>
      </c>
      <c r="E1190" s="2" t="s">
        <v>2767</v>
      </c>
      <c r="H1190" s="2">
        <v>1.0</v>
      </c>
      <c r="I1190" s="2">
        <v>0.0</v>
      </c>
      <c r="K1190" s="8" t="str">
        <f t="shared" si="1"/>
        <v>CALL InsertOrUpdateAtributosProductos ('4462','765','2','TIPO','Liso','1','0');</v>
      </c>
    </row>
    <row r="1191">
      <c r="A1191" s="2">
        <v>4463.0</v>
      </c>
      <c r="B1191" s="2">
        <v>766.0</v>
      </c>
      <c r="C1191" s="2">
        <v>2.0</v>
      </c>
      <c r="D1191" s="2" t="s">
        <v>259</v>
      </c>
      <c r="E1191" s="2" t="s">
        <v>2765</v>
      </c>
      <c r="H1191" s="2">
        <v>1.0</v>
      </c>
      <c r="I1191" s="2">
        <v>0.0</v>
      </c>
      <c r="K1191" s="8" t="str">
        <f t="shared" si="1"/>
        <v>CALL InsertOrUpdateAtributosProductos ('4463','766','2','TIPO','Rallado','1','0');</v>
      </c>
    </row>
    <row r="1192">
      <c r="A1192" s="2">
        <v>4464.0</v>
      </c>
      <c r="B1192" s="2">
        <v>766.0</v>
      </c>
      <c r="C1192" s="2">
        <v>2.0</v>
      </c>
      <c r="D1192" s="2" t="s">
        <v>259</v>
      </c>
      <c r="E1192" s="2" t="s">
        <v>2766</v>
      </c>
      <c r="H1192" s="2">
        <v>1.0</v>
      </c>
      <c r="I1192" s="2">
        <v>0.0</v>
      </c>
      <c r="K1192" s="8" t="str">
        <f t="shared" si="1"/>
        <v>CALL InsertOrUpdateAtributosProductos ('4464','766','2','TIPO','Cuadriculado','1','0');</v>
      </c>
    </row>
    <row r="1193">
      <c r="A1193" s="2">
        <v>4465.0</v>
      </c>
      <c r="B1193" s="2">
        <v>766.0</v>
      </c>
      <c r="C1193" s="2">
        <v>2.0</v>
      </c>
      <c r="D1193" s="2" t="s">
        <v>259</v>
      </c>
      <c r="E1193" s="2" t="s">
        <v>2767</v>
      </c>
      <c r="H1193" s="2">
        <v>1.0</v>
      </c>
      <c r="I1193" s="2">
        <v>0.0</v>
      </c>
      <c r="K1193" s="8" t="str">
        <f t="shared" si="1"/>
        <v>CALL InsertOrUpdateAtributosProductos ('4465','766','2','TIPO','Liso','1','0');</v>
      </c>
    </row>
    <row r="1194">
      <c r="A1194" s="2">
        <v>4466.0</v>
      </c>
      <c r="B1194" s="2">
        <v>767.0</v>
      </c>
      <c r="C1194" s="2">
        <v>2.0</v>
      </c>
      <c r="D1194" s="2" t="s">
        <v>259</v>
      </c>
      <c r="E1194" s="2" t="s">
        <v>2765</v>
      </c>
      <c r="H1194" s="2">
        <v>1.0</v>
      </c>
      <c r="I1194" s="2">
        <v>0.0</v>
      </c>
      <c r="K1194" s="8" t="str">
        <f t="shared" si="1"/>
        <v>CALL InsertOrUpdateAtributosProductos ('4466','767','2','TIPO','Rallado','1','0');</v>
      </c>
    </row>
    <row r="1195">
      <c r="A1195" s="2">
        <v>4467.0</v>
      </c>
      <c r="B1195" s="2">
        <v>767.0</v>
      </c>
      <c r="C1195" s="2">
        <v>2.0</v>
      </c>
      <c r="D1195" s="2" t="s">
        <v>259</v>
      </c>
      <c r="E1195" s="2" t="s">
        <v>2766</v>
      </c>
      <c r="H1195" s="2">
        <v>1.0</v>
      </c>
      <c r="I1195" s="2">
        <v>0.0</v>
      </c>
      <c r="K1195" s="8" t="str">
        <f t="shared" si="1"/>
        <v>CALL InsertOrUpdateAtributosProductos ('4467','767','2','TIPO','Cuadriculado','1','0');</v>
      </c>
    </row>
    <row r="1196">
      <c r="A1196" s="2">
        <v>4468.0</v>
      </c>
      <c r="B1196" s="2">
        <v>767.0</v>
      </c>
      <c r="C1196" s="2">
        <v>2.0</v>
      </c>
      <c r="D1196" s="2" t="s">
        <v>259</v>
      </c>
      <c r="E1196" s="2" t="s">
        <v>2767</v>
      </c>
      <c r="H1196" s="2">
        <v>1.0</v>
      </c>
      <c r="I1196" s="2">
        <v>0.0</v>
      </c>
      <c r="K1196" s="8" t="str">
        <f t="shared" si="1"/>
        <v>CALL InsertOrUpdateAtributosProductos ('4468','767','2','TIPO','Liso','1','0');</v>
      </c>
    </row>
    <row r="1197">
      <c r="A1197" s="2">
        <v>4469.0</v>
      </c>
      <c r="B1197" s="2">
        <v>768.0</v>
      </c>
      <c r="C1197" s="2">
        <v>2.0</v>
      </c>
      <c r="D1197" s="2" t="s">
        <v>259</v>
      </c>
      <c r="E1197" s="2" t="s">
        <v>2765</v>
      </c>
      <c r="H1197" s="2">
        <v>1.0</v>
      </c>
      <c r="I1197" s="2">
        <v>0.0</v>
      </c>
      <c r="K1197" s="8" t="str">
        <f t="shared" si="1"/>
        <v>CALL InsertOrUpdateAtributosProductos ('4469','768','2','TIPO','Rallado','1','0');</v>
      </c>
    </row>
    <row r="1198">
      <c r="A1198" s="2">
        <v>4470.0</v>
      </c>
      <c r="B1198" s="2">
        <v>768.0</v>
      </c>
      <c r="C1198" s="2">
        <v>2.0</v>
      </c>
      <c r="D1198" s="2" t="s">
        <v>259</v>
      </c>
      <c r="E1198" s="2" t="s">
        <v>2766</v>
      </c>
      <c r="H1198" s="2">
        <v>1.0</v>
      </c>
      <c r="I1198" s="2">
        <v>0.0</v>
      </c>
      <c r="K1198" s="8" t="str">
        <f t="shared" si="1"/>
        <v>CALL InsertOrUpdateAtributosProductos ('4470','768','2','TIPO','Cuadriculado','1','0');</v>
      </c>
    </row>
    <row r="1199">
      <c r="A1199" s="2">
        <v>4471.0</v>
      </c>
      <c r="B1199" s="2">
        <v>768.0</v>
      </c>
      <c r="C1199" s="2">
        <v>2.0</v>
      </c>
      <c r="D1199" s="2" t="s">
        <v>259</v>
      </c>
      <c r="E1199" s="2" t="s">
        <v>2767</v>
      </c>
      <c r="H1199" s="2">
        <v>1.0</v>
      </c>
      <c r="I1199" s="2">
        <v>0.0</v>
      </c>
      <c r="K1199" s="8" t="str">
        <f t="shared" si="1"/>
        <v>CALL InsertOrUpdateAtributosProductos ('4471','768','2','TIPO','Liso','1','0');</v>
      </c>
    </row>
    <row r="1200">
      <c r="A1200" s="2">
        <v>4472.0</v>
      </c>
      <c r="B1200" s="2">
        <v>770.0</v>
      </c>
      <c r="C1200" s="2">
        <v>2.0</v>
      </c>
      <c r="D1200" s="2" t="s">
        <v>259</v>
      </c>
      <c r="E1200" s="2" t="s">
        <v>2266</v>
      </c>
      <c r="H1200" s="2">
        <v>1.0</v>
      </c>
      <c r="I1200" s="2">
        <v>0.0</v>
      </c>
      <c r="K1200" s="8" t="str">
        <f t="shared" si="1"/>
        <v>CALL InsertOrUpdateAtributosProductos ('4472','770','2','TIPO','17 cm','1','0');</v>
      </c>
    </row>
    <row r="1201">
      <c r="A1201" s="2">
        <v>4473.0</v>
      </c>
      <c r="B1201" s="2">
        <v>770.0</v>
      </c>
      <c r="C1201" s="2">
        <v>2.0</v>
      </c>
      <c r="D1201" s="2" t="s">
        <v>259</v>
      </c>
      <c r="E1201" s="2" t="s">
        <v>2267</v>
      </c>
      <c r="H1201" s="2">
        <v>1.0</v>
      </c>
      <c r="I1201" s="2">
        <v>0.0</v>
      </c>
      <c r="K1201" s="8" t="str">
        <f t="shared" si="1"/>
        <v>CALL InsertOrUpdateAtributosProductos ('4473','770','2','TIPO','22 cm','1','0');</v>
      </c>
    </row>
    <row r="1202">
      <c r="A1202" s="2">
        <v>4474.0</v>
      </c>
      <c r="B1202" s="2">
        <v>772.0</v>
      </c>
      <c r="C1202" s="2">
        <v>8.0</v>
      </c>
      <c r="D1202" s="2" t="s">
        <v>581</v>
      </c>
      <c r="E1202" s="2" t="s">
        <v>2221</v>
      </c>
      <c r="H1202" s="2">
        <v>1.0</v>
      </c>
      <c r="I1202" s="2">
        <v>0.0</v>
      </c>
      <c r="K1202" s="8" t="str">
        <f t="shared" si="1"/>
        <v>CALL InsertOrUpdateAtributosProductos ('4474','772','8','COLOR','Negro','1','0');</v>
      </c>
    </row>
    <row r="1203">
      <c r="A1203" s="2">
        <v>4475.0</v>
      </c>
      <c r="B1203" s="2">
        <v>772.0</v>
      </c>
      <c r="C1203" s="2">
        <v>8.0</v>
      </c>
      <c r="D1203" s="2" t="s">
        <v>581</v>
      </c>
      <c r="E1203" s="2" t="s">
        <v>2231</v>
      </c>
      <c r="H1203" s="2">
        <v>1.0</v>
      </c>
      <c r="I1203" s="2">
        <v>0.0</v>
      </c>
      <c r="K1203" s="8" t="str">
        <f t="shared" si="1"/>
        <v>CALL InsertOrUpdateAtributosProductos ('4475','772','8','COLOR','Rojo','1','0');</v>
      </c>
    </row>
    <row r="1204">
      <c r="A1204" s="2">
        <v>4476.0</v>
      </c>
      <c r="B1204" s="2">
        <v>772.0</v>
      </c>
      <c r="C1204" s="2">
        <v>8.0</v>
      </c>
      <c r="D1204" s="2" t="s">
        <v>581</v>
      </c>
      <c r="E1204" s="2" t="s">
        <v>2398</v>
      </c>
      <c r="H1204" s="2">
        <v>1.0</v>
      </c>
      <c r="I1204" s="2">
        <v>0.0</v>
      </c>
      <c r="K1204" s="8" t="str">
        <f t="shared" si="1"/>
        <v>CALL InsertOrUpdateAtributosProductos ('4476','772','8','COLOR','Verde','1','0');</v>
      </c>
    </row>
    <row r="1205">
      <c r="A1205" s="2">
        <v>4477.0</v>
      </c>
      <c r="B1205" s="2">
        <v>772.0</v>
      </c>
      <c r="C1205" s="2">
        <v>8.0</v>
      </c>
      <c r="D1205" s="2" t="s">
        <v>581</v>
      </c>
      <c r="E1205" s="2" t="s">
        <v>2762</v>
      </c>
      <c r="H1205" s="2">
        <v>1.0</v>
      </c>
      <c r="I1205" s="2">
        <v>0.0</v>
      </c>
      <c r="K1205" s="8" t="str">
        <f t="shared" si="1"/>
        <v>CALL InsertOrUpdateAtributosProductos ('4477','772','8','COLOR','Azul','1','0');</v>
      </c>
    </row>
    <row r="1206">
      <c r="A1206" s="2">
        <v>4478.0</v>
      </c>
      <c r="B1206" s="2">
        <v>773.0</v>
      </c>
      <c r="C1206" s="2">
        <v>8.0</v>
      </c>
      <c r="D1206" s="2" t="s">
        <v>581</v>
      </c>
      <c r="E1206" s="2" t="s">
        <v>2221</v>
      </c>
      <c r="H1206" s="2">
        <v>1.0</v>
      </c>
      <c r="I1206" s="2">
        <v>0.0</v>
      </c>
      <c r="K1206" s="8" t="str">
        <f t="shared" si="1"/>
        <v>CALL InsertOrUpdateAtributosProductos ('4478','773','8','COLOR','Negro','1','0');</v>
      </c>
    </row>
    <row r="1207">
      <c r="A1207" s="2">
        <v>4479.0</v>
      </c>
      <c r="B1207" s="2">
        <v>773.0</v>
      </c>
      <c r="C1207" s="2">
        <v>8.0</v>
      </c>
      <c r="D1207" s="2" t="s">
        <v>581</v>
      </c>
      <c r="E1207" s="2" t="s">
        <v>2231</v>
      </c>
      <c r="H1207" s="2">
        <v>1.0</v>
      </c>
      <c r="I1207" s="2">
        <v>0.0</v>
      </c>
      <c r="K1207" s="8" t="str">
        <f t="shared" si="1"/>
        <v>CALL InsertOrUpdateAtributosProductos ('4479','773','8','COLOR','Rojo','1','0');</v>
      </c>
    </row>
    <row r="1208">
      <c r="A1208" s="2">
        <v>4480.0</v>
      </c>
      <c r="B1208" s="2">
        <v>773.0</v>
      </c>
      <c r="C1208" s="2">
        <v>8.0</v>
      </c>
      <c r="D1208" s="2" t="s">
        <v>581</v>
      </c>
      <c r="E1208" s="2" t="s">
        <v>2398</v>
      </c>
      <c r="H1208" s="2">
        <v>1.0</v>
      </c>
      <c r="I1208" s="2">
        <v>0.0</v>
      </c>
      <c r="K1208" s="8" t="str">
        <f t="shared" si="1"/>
        <v>CALL InsertOrUpdateAtributosProductos ('4480','773','8','COLOR','Verde','1','0');</v>
      </c>
    </row>
    <row r="1209">
      <c r="A1209" s="2">
        <v>4481.0</v>
      </c>
      <c r="B1209" s="2">
        <v>773.0</v>
      </c>
      <c r="C1209" s="2">
        <v>8.0</v>
      </c>
      <c r="D1209" s="2" t="s">
        <v>581</v>
      </c>
      <c r="E1209" s="2" t="s">
        <v>2762</v>
      </c>
      <c r="H1209" s="2">
        <v>1.0</v>
      </c>
      <c r="I1209" s="2">
        <v>0.0</v>
      </c>
      <c r="K1209" s="8" t="str">
        <f t="shared" si="1"/>
        <v>CALL InsertOrUpdateAtributosProductos ('4481','773','8','COLOR','Azul','1','0');</v>
      </c>
    </row>
    <row r="1210">
      <c r="A1210" s="2">
        <v>4482.0</v>
      </c>
      <c r="B1210" s="2">
        <v>779.0</v>
      </c>
      <c r="C1210" s="2">
        <v>5.0</v>
      </c>
      <c r="D1210" s="2" t="s">
        <v>540</v>
      </c>
      <c r="E1210" s="2" t="s">
        <v>2213</v>
      </c>
      <c r="H1210" s="2">
        <v>1.0</v>
      </c>
      <c r="I1210" s="2">
        <v>0.0</v>
      </c>
      <c r="K1210" s="8" t="str">
        <f t="shared" si="1"/>
        <v>CALL InsertOrUpdateAtributosProductos ('4482','779','5','LITROS','250 ml','1','0');</v>
      </c>
    </row>
    <row r="1211">
      <c r="A1211" s="2">
        <v>4483.0</v>
      </c>
      <c r="B1211" s="2">
        <v>779.0</v>
      </c>
      <c r="C1211" s="2">
        <v>5.0</v>
      </c>
      <c r="D1211" s="2" t="s">
        <v>540</v>
      </c>
      <c r="E1211" s="2" t="s">
        <v>2214</v>
      </c>
      <c r="H1211" s="2">
        <v>2.0</v>
      </c>
      <c r="I1211" s="2">
        <v>0.0</v>
      </c>
      <c r="K1211" s="8" t="str">
        <f t="shared" si="1"/>
        <v>CALL InsertOrUpdateAtributosProductos ('4483','779','5','LITROS','500 ml','2','0');</v>
      </c>
    </row>
    <row r="1212">
      <c r="A1212" s="2">
        <v>4484.0</v>
      </c>
      <c r="B1212" s="2">
        <v>779.0</v>
      </c>
      <c r="C1212" s="2">
        <v>5.0</v>
      </c>
      <c r="D1212" s="2" t="s">
        <v>540</v>
      </c>
      <c r="E1212" s="2" t="s">
        <v>2205</v>
      </c>
      <c r="H1212" s="2">
        <v>3.0</v>
      </c>
      <c r="I1212" s="2">
        <v>0.0</v>
      </c>
      <c r="K1212" s="8" t="str">
        <f t="shared" si="1"/>
        <v>CALL InsertOrUpdateAtributosProductos ('4484','779','5','LITROS','1 litro','3','0');</v>
      </c>
    </row>
    <row r="1213">
      <c r="A1213" s="2">
        <v>4485.0</v>
      </c>
      <c r="B1213" s="2">
        <v>779.0</v>
      </c>
      <c r="C1213" s="2">
        <v>5.0</v>
      </c>
      <c r="D1213" s="2" t="s">
        <v>540</v>
      </c>
      <c r="E1213" s="2" t="s">
        <v>2206</v>
      </c>
      <c r="H1213" s="2">
        <v>4.0</v>
      </c>
      <c r="I1213" s="2">
        <v>0.0</v>
      </c>
      <c r="K1213" s="8" t="str">
        <f t="shared" si="1"/>
        <v>CALL InsertOrUpdateAtributosProductos ('4485','779','5','LITROS','4 litros','4','0');</v>
      </c>
    </row>
    <row r="1214">
      <c r="A1214" s="2">
        <v>4486.0</v>
      </c>
      <c r="B1214" s="2">
        <v>779.0</v>
      </c>
      <c r="C1214" s="2">
        <v>5.0</v>
      </c>
      <c r="D1214" s="2" t="s">
        <v>540</v>
      </c>
      <c r="E1214" s="2" t="s">
        <v>2208</v>
      </c>
      <c r="H1214" s="2">
        <v>5.0</v>
      </c>
      <c r="I1214" s="2">
        <v>0.0</v>
      </c>
      <c r="K1214" s="8" t="str">
        <f t="shared" si="1"/>
        <v>CALL InsertOrUpdateAtributosProductos ('4486','779','5','LITROS','20 litros','5','0');</v>
      </c>
    </row>
    <row r="1215">
      <c r="A1215" s="2">
        <v>4487.0</v>
      </c>
      <c r="B1215" s="2">
        <v>779.0</v>
      </c>
      <c r="C1215" s="2">
        <v>8.0</v>
      </c>
      <c r="D1215" s="2" t="s">
        <v>581</v>
      </c>
      <c r="E1215" s="2" t="s">
        <v>2223</v>
      </c>
      <c r="H1215" s="2">
        <v>2.0</v>
      </c>
      <c r="I1215" s="2">
        <v>0.0</v>
      </c>
      <c r="K1215" s="8" t="str">
        <f t="shared" si="1"/>
        <v>CALL InsertOrUpdateAtributosProductos ('4487','779','8','COLOR','Blanco','2','0');</v>
      </c>
    </row>
    <row r="1216">
      <c r="A1216" s="2">
        <v>4488.0</v>
      </c>
      <c r="B1216" s="2">
        <v>779.0</v>
      </c>
      <c r="C1216" s="2">
        <v>8.0</v>
      </c>
      <c r="D1216" s="2" t="s">
        <v>581</v>
      </c>
      <c r="E1216" s="2" t="s">
        <v>2768</v>
      </c>
      <c r="H1216" s="2">
        <v>3.0</v>
      </c>
      <c r="I1216" s="2">
        <v>0.0</v>
      </c>
      <c r="K1216" s="8" t="str">
        <f t="shared" si="1"/>
        <v>CALL InsertOrUpdateAtributosProductos ('4488','779','8','COLOR','Ocre','3','0');</v>
      </c>
    </row>
    <row r="1217">
      <c r="A1217" s="2">
        <v>4489.0</v>
      </c>
      <c r="B1217" s="2">
        <v>779.0</v>
      </c>
      <c r="C1217" s="2">
        <v>8.0</v>
      </c>
      <c r="D1217" s="2" t="s">
        <v>581</v>
      </c>
      <c r="E1217" s="2" t="s">
        <v>2769</v>
      </c>
      <c r="H1217" s="2">
        <v>4.0</v>
      </c>
      <c r="I1217" s="2">
        <v>0.0</v>
      </c>
      <c r="K1217" s="8" t="str">
        <f t="shared" si="1"/>
        <v>CALL InsertOrUpdateAtributosProductos ('4489','779','8','COLOR','Plata','4','0');</v>
      </c>
    </row>
    <row r="1218">
      <c r="A1218" s="2">
        <v>4490.0</v>
      </c>
      <c r="B1218" s="2">
        <v>779.0</v>
      </c>
      <c r="C1218" s="2">
        <v>8.0</v>
      </c>
      <c r="D1218" s="2" t="s">
        <v>581</v>
      </c>
      <c r="E1218" s="2" t="s">
        <v>2229</v>
      </c>
      <c r="H1218" s="2">
        <v>5.0</v>
      </c>
      <c r="I1218" s="2">
        <v>0.0</v>
      </c>
      <c r="K1218" s="8" t="str">
        <f t="shared" si="1"/>
        <v>CALL InsertOrUpdateAtributosProductos ('4490','779','8','COLOR','Marfil','5','0');</v>
      </c>
    </row>
    <row r="1219">
      <c r="A1219" s="2">
        <v>4491.0</v>
      </c>
      <c r="B1219" s="2">
        <v>779.0</v>
      </c>
      <c r="C1219" s="2">
        <v>8.0</v>
      </c>
      <c r="D1219" s="2" t="s">
        <v>581</v>
      </c>
      <c r="E1219" s="2" t="s">
        <v>2770</v>
      </c>
      <c r="H1219" s="2">
        <v>6.0</v>
      </c>
      <c r="I1219" s="2">
        <v>0.0</v>
      </c>
      <c r="K1219" s="8" t="str">
        <f t="shared" si="1"/>
        <v>CALL InsertOrUpdateAtributosProductos ('4491','779','8','COLOR','Verde Cemento','6','0');</v>
      </c>
    </row>
    <row r="1220">
      <c r="A1220" s="2">
        <v>4492.0</v>
      </c>
      <c r="B1220" s="2">
        <v>779.0</v>
      </c>
      <c r="C1220" s="2">
        <v>8.0</v>
      </c>
      <c r="D1220" s="2" t="s">
        <v>581</v>
      </c>
      <c r="E1220" s="2" t="s">
        <v>2222</v>
      </c>
      <c r="H1220" s="2">
        <v>7.0</v>
      </c>
      <c r="I1220" s="2">
        <v>0.0</v>
      </c>
      <c r="K1220" s="8" t="str">
        <f t="shared" si="1"/>
        <v>CALL InsertOrUpdateAtributosProductos ('4492','779','8','COLOR','Amarillo','7','0');</v>
      </c>
    </row>
    <row r="1221">
      <c r="A1221" s="2">
        <v>4493.0</v>
      </c>
      <c r="B1221" s="2">
        <v>779.0</v>
      </c>
      <c r="C1221" s="2">
        <v>8.0</v>
      </c>
      <c r="D1221" s="2" t="s">
        <v>581</v>
      </c>
      <c r="E1221" s="2" t="s">
        <v>2224</v>
      </c>
      <c r="H1221" s="2">
        <v>8.0</v>
      </c>
      <c r="I1221" s="2">
        <v>0.0</v>
      </c>
      <c r="K1221" s="8" t="str">
        <f t="shared" si="1"/>
        <v>CALL InsertOrUpdateAtributosProductos ('4493','779','8','COLOR','Gris','8','0');</v>
      </c>
    </row>
    <row r="1222">
      <c r="A1222" s="2">
        <v>4494.0</v>
      </c>
      <c r="B1222" s="2">
        <v>779.0</v>
      </c>
      <c r="C1222" s="2">
        <v>8.0</v>
      </c>
      <c r="D1222" s="2" t="s">
        <v>581</v>
      </c>
      <c r="E1222" s="2" t="s">
        <v>2771</v>
      </c>
      <c r="H1222" s="2">
        <v>9.0</v>
      </c>
      <c r="I1222" s="2">
        <v>0.0</v>
      </c>
      <c r="K1222" s="8" t="str">
        <f t="shared" si="1"/>
        <v>CALL InsertOrUpdateAtributosProductos ('4494','779','8','COLOR','Crema','9','0');</v>
      </c>
    </row>
    <row r="1223">
      <c r="A1223" s="2">
        <v>4495.0</v>
      </c>
      <c r="B1223" s="2">
        <v>779.0</v>
      </c>
      <c r="C1223" s="2">
        <v>8.0</v>
      </c>
      <c r="D1223" s="2" t="s">
        <v>581</v>
      </c>
      <c r="E1223" s="2" t="s">
        <v>2508</v>
      </c>
      <c r="H1223" s="2">
        <v>10.0</v>
      </c>
      <c r="I1223" s="2">
        <v>0.0</v>
      </c>
      <c r="K1223" s="8" t="str">
        <f t="shared" si="1"/>
        <v>CALL InsertOrUpdateAtributosProductos ('4495','779','8','COLOR','Beige','10','0');</v>
      </c>
    </row>
    <row r="1224">
      <c r="A1224" s="2">
        <v>4496.0</v>
      </c>
      <c r="B1224" s="2">
        <v>779.0</v>
      </c>
      <c r="C1224" s="2">
        <v>8.0</v>
      </c>
      <c r="D1224" s="2" t="s">
        <v>581</v>
      </c>
      <c r="E1224" s="2" t="s">
        <v>2226</v>
      </c>
      <c r="H1224" s="2">
        <v>11.0</v>
      </c>
      <c r="I1224" s="2">
        <v>0.0</v>
      </c>
      <c r="K1224" s="8" t="str">
        <f t="shared" si="1"/>
        <v>CALL InsertOrUpdateAtributosProductos ('4496','779','8','COLOR','Naranja','11','0');</v>
      </c>
    </row>
    <row r="1225">
      <c r="A1225" s="2">
        <v>4497.0</v>
      </c>
      <c r="B1225" s="2">
        <v>779.0</v>
      </c>
      <c r="C1225" s="2">
        <v>8.0</v>
      </c>
      <c r="D1225" s="2" t="s">
        <v>581</v>
      </c>
      <c r="E1225" s="2" t="s">
        <v>2222</v>
      </c>
      <c r="H1225" s="2">
        <v>12.0</v>
      </c>
      <c r="I1225" s="2">
        <v>0.0</v>
      </c>
      <c r="K1225" s="8" t="str">
        <f t="shared" si="1"/>
        <v>CALL InsertOrUpdateAtributosProductos ('4497','779','8','COLOR','Amarillo','12','0');</v>
      </c>
    </row>
    <row r="1226">
      <c r="A1226" s="2">
        <v>4498.0</v>
      </c>
      <c r="B1226" s="2">
        <v>779.0</v>
      </c>
      <c r="C1226" s="2">
        <v>8.0</v>
      </c>
      <c r="D1226" s="2" t="s">
        <v>581</v>
      </c>
      <c r="E1226" s="2" t="s">
        <v>2762</v>
      </c>
      <c r="H1226" s="2">
        <v>13.0</v>
      </c>
      <c r="I1226" s="2">
        <v>0.0</v>
      </c>
      <c r="K1226" s="8" t="str">
        <f t="shared" si="1"/>
        <v>CALL InsertOrUpdateAtributosProductos ('4498','779','8','COLOR','Azul','13','0');</v>
      </c>
    </row>
    <row r="1227">
      <c r="A1227" s="2">
        <v>4499.0</v>
      </c>
      <c r="B1227" s="2">
        <v>779.0</v>
      </c>
      <c r="C1227" s="2">
        <v>8.0</v>
      </c>
      <c r="D1227" s="2" t="s">
        <v>581</v>
      </c>
      <c r="E1227" s="2" t="s">
        <v>2398</v>
      </c>
      <c r="H1227" s="2">
        <v>14.0</v>
      </c>
      <c r="I1227" s="2">
        <v>0.0</v>
      </c>
      <c r="K1227" s="8" t="str">
        <f t="shared" si="1"/>
        <v>CALL InsertOrUpdateAtributosProductos ('4499','779','8','COLOR','Verde','14','0');</v>
      </c>
    </row>
    <row r="1228">
      <c r="A1228" s="2">
        <v>4500.0</v>
      </c>
      <c r="B1228" s="2">
        <v>779.0</v>
      </c>
      <c r="C1228" s="2">
        <v>8.0</v>
      </c>
      <c r="D1228" s="2" t="s">
        <v>581</v>
      </c>
      <c r="E1228" s="2" t="s">
        <v>2228</v>
      </c>
      <c r="H1228" s="2">
        <v>15.0</v>
      </c>
      <c r="I1228" s="2">
        <v>0.0</v>
      </c>
      <c r="K1228" s="8" t="str">
        <f t="shared" si="1"/>
        <v>CALL InsertOrUpdateAtributosProductos ('4500','779','8','COLOR','Bermellón','15','0');</v>
      </c>
    </row>
    <row r="1229">
      <c r="A1229" s="2">
        <v>4501.0</v>
      </c>
      <c r="B1229" s="2">
        <v>780.0</v>
      </c>
      <c r="C1229" s="2">
        <v>5.0</v>
      </c>
      <c r="D1229" s="2" t="s">
        <v>540</v>
      </c>
      <c r="E1229" s="2" t="s">
        <v>2213</v>
      </c>
      <c r="H1229" s="2">
        <v>1.0</v>
      </c>
      <c r="I1229" s="2">
        <v>0.0</v>
      </c>
      <c r="K1229" s="8" t="str">
        <f t="shared" si="1"/>
        <v>CALL InsertOrUpdateAtributosProductos ('4501','780','5','LITROS','250 ml','1','0');</v>
      </c>
    </row>
    <row r="1230">
      <c r="A1230" s="2">
        <v>4502.0</v>
      </c>
      <c r="B1230" s="2">
        <v>780.0</v>
      </c>
      <c r="C1230" s="2">
        <v>5.0</v>
      </c>
      <c r="D1230" s="2" t="s">
        <v>540</v>
      </c>
      <c r="E1230" s="2" t="s">
        <v>2214</v>
      </c>
      <c r="H1230" s="2">
        <v>2.0</v>
      </c>
      <c r="I1230" s="2">
        <v>0.0</v>
      </c>
      <c r="K1230" s="8" t="str">
        <f t="shared" si="1"/>
        <v>CALL InsertOrUpdateAtributosProductos ('4502','780','5','LITROS','500 ml','2','0');</v>
      </c>
    </row>
    <row r="1231">
      <c r="A1231" s="2">
        <v>4503.0</v>
      </c>
      <c r="B1231" s="2">
        <v>780.0</v>
      </c>
      <c r="C1231" s="2">
        <v>5.0</v>
      </c>
      <c r="D1231" s="2" t="s">
        <v>540</v>
      </c>
      <c r="E1231" s="2" t="s">
        <v>2205</v>
      </c>
      <c r="H1231" s="2">
        <v>3.0</v>
      </c>
      <c r="I1231" s="2">
        <v>0.0</v>
      </c>
      <c r="K1231" s="8" t="str">
        <f t="shared" si="1"/>
        <v>CALL InsertOrUpdateAtributosProductos ('4503','780','5','LITROS','1 litro','3','0');</v>
      </c>
    </row>
    <row r="1232">
      <c r="A1232" s="2">
        <v>4504.0</v>
      </c>
      <c r="B1232" s="2">
        <v>780.0</v>
      </c>
      <c r="C1232" s="2">
        <v>5.0</v>
      </c>
      <c r="D1232" s="2" t="s">
        <v>540</v>
      </c>
      <c r="E1232" s="2" t="s">
        <v>2206</v>
      </c>
      <c r="H1232" s="2">
        <v>4.0</v>
      </c>
      <c r="I1232" s="2">
        <v>0.0</v>
      </c>
      <c r="K1232" s="8" t="str">
        <f t="shared" si="1"/>
        <v>CALL InsertOrUpdateAtributosProductos ('4504','780','5','LITROS','4 litros','4','0');</v>
      </c>
    </row>
    <row r="1233">
      <c r="A1233" s="2">
        <v>4505.0</v>
      </c>
      <c r="B1233" s="2">
        <v>780.0</v>
      </c>
      <c r="C1233" s="2">
        <v>5.0</v>
      </c>
      <c r="D1233" s="2" t="s">
        <v>540</v>
      </c>
      <c r="E1233" s="2" t="s">
        <v>2208</v>
      </c>
      <c r="H1233" s="2">
        <v>5.0</v>
      </c>
      <c r="I1233" s="2">
        <v>0.0</v>
      </c>
      <c r="K1233" s="8" t="str">
        <f t="shared" si="1"/>
        <v>CALL InsertOrUpdateAtributosProductos ('4505','780','5','LITROS','20 litros','5','0');</v>
      </c>
    </row>
    <row r="1234">
      <c r="A1234" s="2">
        <v>4506.0</v>
      </c>
      <c r="B1234" s="2">
        <v>780.0</v>
      </c>
      <c r="C1234" s="2">
        <v>8.0</v>
      </c>
      <c r="D1234" s="2" t="s">
        <v>581</v>
      </c>
      <c r="E1234" s="2" t="s">
        <v>2223</v>
      </c>
      <c r="H1234" s="2">
        <v>2.0</v>
      </c>
      <c r="I1234" s="2">
        <v>0.0</v>
      </c>
      <c r="K1234" s="8" t="str">
        <f t="shared" si="1"/>
        <v>CALL InsertOrUpdateAtributosProductos ('4506','780','8','COLOR','Blanco','2','0');</v>
      </c>
    </row>
    <row r="1235">
      <c r="A1235" s="2">
        <v>4507.0</v>
      </c>
      <c r="B1235" s="2">
        <v>780.0</v>
      </c>
      <c r="C1235" s="2">
        <v>8.0</v>
      </c>
      <c r="D1235" s="2" t="s">
        <v>581</v>
      </c>
      <c r="E1235" s="2" t="s">
        <v>2768</v>
      </c>
      <c r="H1235" s="2">
        <v>3.0</v>
      </c>
      <c r="I1235" s="2">
        <v>0.0</v>
      </c>
      <c r="K1235" s="8" t="str">
        <f t="shared" si="1"/>
        <v>CALL InsertOrUpdateAtributosProductos ('4507','780','8','COLOR','Ocre','3','0');</v>
      </c>
    </row>
    <row r="1236">
      <c r="A1236" s="2">
        <v>4508.0</v>
      </c>
      <c r="B1236" s="2">
        <v>780.0</v>
      </c>
      <c r="C1236" s="2">
        <v>8.0</v>
      </c>
      <c r="D1236" s="2" t="s">
        <v>581</v>
      </c>
      <c r="E1236" s="2" t="s">
        <v>2769</v>
      </c>
      <c r="H1236" s="2">
        <v>4.0</v>
      </c>
      <c r="I1236" s="2">
        <v>0.0</v>
      </c>
      <c r="K1236" s="8" t="str">
        <f t="shared" si="1"/>
        <v>CALL InsertOrUpdateAtributosProductos ('4508','780','8','COLOR','Plata','4','0');</v>
      </c>
    </row>
    <row r="1237">
      <c r="A1237" s="2">
        <v>4509.0</v>
      </c>
      <c r="B1237" s="2">
        <v>780.0</v>
      </c>
      <c r="C1237" s="2">
        <v>8.0</v>
      </c>
      <c r="D1237" s="2" t="s">
        <v>581</v>
      </c>
      <c r="E1237" s="2" t="s">
        <v>2229</v>
      </c>
      <c r="H1237" s="2">
        <v>5.0</v>
      </c>
      <c r="I1237" s="2">
        <v>0.0</v>
      </c>
      <c r="K1237" s="8" t="str">
        <f t="shared" si="1"/>
        <v>CALL InsertOrUpdateAtributosProductos ('4509','780','8','COLOR','Marfil','5','0');</v>
      </c>
    </row>
    <row r="1238">
      <c r="A1238" s="2">
        <v>4510.0</v>
      </c>
      <c r="B1238" s="2">
        <v>780.0</v>
      </c>
      <c r="C1238" s="2">
        <v>8.0</v>
      </c>
      <c r="D1238" s="2" t="s">
        <v>581</v>
      </c>
      <c r="E1238" s="2" t="s">
        <v>2770</v>
      </c>
      <c r="H1238" s="2">
        <v>6.0</v>
      </c>
      <c r="I1238" s="2">
        <v>0.0</v>
      </c>
      <c r="K1238" s="8" t="str">
        <f t="shared" si="1"/>
        <v>CALL InsertOrUpdateAtributosProductos ('4510','780','8','COLOR','Verde Cemento','6','0');</v>
      </c>
    </row>
    <row r="1239">
      <c r="A1239" s="2">
        <v>4511.0</v>
      </c>
      <c r="B1239" s="2">
        <v>780.0</v>
      </c>
      <c r="C1239" s="2">
        <v>8.0</v>
      </c>
      <c r="D1239" s="2" t="s">
        <v>581</v>
      </c>
      <c r="E1239" s="2" t="s">
        <v>2222</v>
      </c>
      <c r="H1239" s="2">
        <v>7.0</v>
      </c>
      <c r="I1239" s="2">
        <v>0.0</v>
      </c>
      <c r="K1239" s="8" t="str">
        <f t="shared" si="1"/>
        <v>CALL InsertOrUpdateAtributosProductos ('4511','780','8','COLOR','Amarillo','7','0');</v>
      </c>
    </row>
    <row r="1240">
      <c r="A1240" s="2">
        <v>4512.0</v>
      </c>
      <c r="B1240" s="2">
        <v>780.0</v>
      </c>
      <c r="C1240" s="2">
        <v>8.0</v>
      </c>
      <c r="D1240" s="2" t="s">
        <v>581</v>
      </c>
      <c r="E1240" s="2" t="s">
        <v>2224</v>
      </c>
      <c r="H1240" s="2">
        <v>8.0</v>
      </c>
      <c r="I1240" s="2">
        <v>0.0</v>
      </c>
      <c r="K1240" s="8" t="str">
        <f t="shared" si="1"/>
        <v>CALL InsertOrUpdateAtributosProductos ('4512','780','8','COLOR','Gris','8','0');</v>
      </c>
    </row>
    <row r="1241">
      <c r="A1241" s="2">
        <v>4513.0</v>
      </c>
      <c r="B1241" s="2">
        <v>780.0</v>
      </c>
      <c r="C1241" s="2">
        <v>8.0</v>
      </c>
      <c r="D1241" s="2" t="s">
        <v>581</v>
      </c>
      <c r="E1241" s="2" t="s">
        <v>2771</v>
      </c>
      <c r="H1241" s="2">
        <v>9.0</v>
      </c>
      <c r="I1241" s="2">
        <v>0.0</v>
      </c>
      <c r="K1241" s="8" t="str">
        <f t="shared" si="1"/>
        <v>CALL InsertOrUpdateAtributosProductos ('4513','780','8','COLOR','Crema','9','0');</v>
      </c>
    </row>
    <row r="1242">
      <c r="A1242" s="2">
        <v>4514.0</v>
      </c>
      <c r="B1242" s="2">
        <v>780.0</v>
      </c>
      <c r="C1242" s="2">
        <v>8.0</v>
      </c>
      <c r="D1242" s="2" t="s">
        <v>581</v>
      </c>
      <c r="E1242" s="2" t="s">
        <v>2508</v>
      </c>
      <c r="H1242" s="2">
        <v>10.0</v>
      </c>
      <c r="I1242" s="2">
        <v>0.0</v>
      </c>
      <c r="K1242" s="8" t="str">
        <f t="shared" si="1"/>
        <v>CALL InsertOrUpdateAtributosProductos ('4514','780','8','COLOR','Beige','10','0');</v>
      </c>
    </row>
    <row r="1243">
      <c r="A1243" s="2">
        <v>4515.0</v>
      </c>
      <c r="B1243" s="2">
        <v>780.0</v>
      </c>
      <c r="C1243" s="2">
        <v>8.0</v>
      </c>
      <c r="D1243" s="2" t="s">
        <v>581</v>
      </c>
      <c r="E1243" s="2" t="s">
        <v>2226</v>
      </c>
      <c r="H1243" s="2">
        <v>11.0</v>
      </c>
      <c r="I1243" s="2">
        <v>0.0</v>
      </c>
      <c r="K1243" s="8" t="str">
        <f t="shared" si="1"/>
        <v>CALL InsertOrUpdateAtributosProductos ('4515','780','8','COLOR','Naranja','11','0');</v>
      </c>
    </row>
    <row r="1244">
      <c r="A1244" s="2">
        <v>4516.0</v>
      </c>
      <c r="B1244" s="2">
        <v>780.0</v>
      </c>
      <c r="C1244" s="2">
        <v>8.0</v>
      </c>
      <c r="D1244" s="2" t="s">
        <v>581</v>
      </c>
      <c r="E1244" s="2" t="s">
        <v>2222</v>
      </c>
      <c r="H1244" s="2">
        <v>12.0</v>
      </c>
      <c r="I1244" s="2">
        <v>0.0</v>
      </c>
      <c r="K1244" s="8" t="str">
        <f t="shared" si="1"/>
        <v>CALL InsertOrUpdateAtributosProductos ('4516','780','8','COLOR','Amarillo','12','0');</v>
      </c>
    </row>
    <row r="1245">
      <c r="A1245" s="2">
        <v>4517.0</v>
      </c>
      <c r="B1245" s="2">
        <v>780.0</v>
      </c>
      <c r="C1245" s="2">
        <v>8.0</v>
      </c>
      <c r="D1245" s="2" t="s">
        <v>581</v>
      </c>
      <c r="E1245" s="2" t="s">
        <v>2762</v>
      </c>
      <c r="H1245" s="2">
        <v>13.0</v>
      </c>
      <c r="I1245" s="2">
        <v>0.0</v>
      </c>
      <c r="K1245" s="8" t="str">
        <f t="shared" si="1"/>
        <v>CALL InsertOrUpdateAtributosProductos ('4517','780','8','COLOR','Azul','13','0');</v>
      </c>
    </row>
    <row r="1246">
      <c r="A1246" s="2">
        <v>4518.0</v>
      </c>
      <c r="B1246" s="2">
        <v>780.0</v>
      </c>
      <c r="C1246" s="2">
        <v>8.0</v>
      </c>
      <c r="D1246" s="2" t="s">
        <v>581</v>
      </c>
      <c r="E1246" s="2" t="s">
        <v>2398</v>
      </c>
      <c r="H1246" s="2">
        <v>14.0</v>
      </c>
      <c r="I1246" s="2">
        <v>0.0</v>
      </c>
      <c r="K1246" s="8" t="str">
        <f t="shared" si="1"/>
        <v>CALL InsertOrUpdateAtributosProductos ('4518','780','8','COLOR','Verde','14','0');</v>
      </c>
    </row>
    <row r="1247">
      <c r="A1247" s="2">
        <v>4519.0</v>
      </c>
      <c r="B1247" s="2">
        <v>780.0</v>
      </c>
      <c r="C1247" s="2">
        <v>8.0</v>
      </c>
      <c r="D1247" s="2" t="s">
        <v>581</v>
      </c>
      <c r="E1247" s="2" t="s">
        <v>2228</v>
      </c>
      <c r="H1247" s="2">
        <v>15.0</v>
      </c>
      <c r="I1247" s="2">
        <v>0.0</v>
      </c>
      <c r="K1247" s="8" t="str">
        <f t="shared" si="1"/>
        <v>CALL InsertOrUpdateAtributosProductos ('4519','780','8','COLOR','Bermellón','15','0');</v>
      </c>
    </row>
    <row r="1248">
      <c r="A1248" s="2">
        <v>4520.0</v>
      </c>
      <c r="B1248" s="2">
        <v>781.0</v>
      </c>
      <c r="C1248" s="2">
        <v>8.0</v>
      </c>
      <c r="D1248" s="2" t="s">
        <v>581</v>
      </c>
      <c r="E1248" s="2" t="s">
        <v>2223</v>
      </c>
      <c r="H1248" s="2">
        <v>1.0</v>
      </c>
      <c r="I1248" s="2">
        <v>0.0</v>
      </c>
      <c r="K1248" s="8" t="str">
        <f t="shared" si="1"/>
        <v>CALL InsertOrUpdateAtributosProductos ('4520','781','8','COLOR','Blanco','1','0');</v>
      </c>
    </row>
    <row r="1249">
      <c r="A1249" s="2">
        <v>4521.0</v>
      </c>
      <c r="B1249" s="2">
        <v>781.0</v>
      </c>
      <c r="C1249" s="2">
        <v>8.0</v>
      </c>
      <c r="D1249" s="2" t="s">
        <v>581</v>
      </c>
      <c r="E1249" s="2" t="s">
        <v>2772</v>
      </c>
      <c r="H1249" s="2">
        <v>2.0</v>
      </c>
      <c r="I1249" s="2">
        <v>0.0</v>
      </c>
      <c r="K1249" s="8" t="str">
        <f t="shared" si="1"/>
        <v>CALL InsertOrUpdateAtributosProductos ('4521','781','8','COLOR','Rojo Teja','2','0');</v>
      </c>
    </row>
    <row r="1250">
      <c r="A1250" s="2">
        <v>4522.0</v>
      </c>
      <c r="B1250" s="2">
        <v>781.0</v>
      </c>
      <c r="C1250" s="2">
        <v>8.0</v>
      </c>
      <c r="D1250" s="2" t="s">
        <v>581</v>
      </c>
      <c r="E1250" s="2" t="s">
        <v>2770</v>
      </c>
      <c r="H1250" s="2">
        <v>3.0</v>
      </c>
      <c r="I1250" s="2">
        <v>0.0</v>
      </c>
      <c r="K1250" s="8" t="str">
        <f t="shared" si="1"/>
        <v>CALL InsertOrUpdateAtributosProductos ('4522','781','8','COLOR','Verde Cemento','3','0');</v>
      </c>
    </row>
    <row r="1251">
      <c r="A1251" s="2">
        <v>4523.0</v>
      </c>
      <c r="B1251" s="2">
        <v>781.0</v>
      </c>
      <c r="C1251" s="2">
        <v>5.0</v>
      </c>
      <c r="D1251" s="2" t="s">
        <v>540</v>
      </c>
      <c r="E1251" s="2" t="s">
        <v>2205</v>
      </c>
      <c r="H1251" s="2">
        <v>1.0</v>
      </c>
      <c r="I1251" s="2">
        <v>0.0</v>
      </c>
      <c r="K1251" s="8" t="str">
        <f t="shared" si="1"/>
        <v>CALL InsertOrUpdateAtributosProductos ('4523','781','5','LITROS','1 litro','1','0');</v>
      </c>
    </row>
    <row r="1252">
      <c r="A1252" s="2">
        <v>4524.0</v>
      </c>
      <c r="B1252" s="2">
        <v>781.0</v>
      </c>
      <c r="C1252" s="2">
        <v>5.0</v>
      </c>
      <c r="D1252" s="2" t="s">
        <v>540</v>
      </c>
      <c r="E1252" s="2" t="s">
        <v>2206</v>
      </c>
      <c r="H1252" s="2">
        <v>2.0</v>
      </c>
      <c r="I1252" s="2">
        <v>0.0</v>
      </c>
      <c r="K1252" s="8" t="str">
        <f t="shared" si="1"/>
        <v>CALL InsertOrUpdateAtributosProductos ('4524','781','5','LITROS','4 litros','2','0');</v>
      </c>
    </row>
    <row r="1253">
      <c r="A1253" s="2">
        <v>4525.0</v>
      </c>
      <c r="B1253" s="2">
        <v>781.0</v>
      </c>
      <c r="C1253" s="2">
        <v>5.0</v>
      </c>
      <c r="D1253" s="2" t="s">
        <v>540</v>
      </c>
      <c r="E1253" s="2" t="s">
        <v>2207</v>
      </c>
      <c r="H1253" s="2">
        <v>3.0</v>
      </c>
      <c r="I1253" s="2">
        <v>0.0</v>
      </c>
      <c r="K1253" s="8" t="str">
        <f t="shared" si="1"/>
        <v>CALL InsertOrUpdateAtributosProductos ('4525','781','5','LITROS','10 litros','3','0');</v>
      </c>
    </row>
    <row r="1254">
      <c r="A1254" s="2">
        <v>4526.0</v>
      </c>
      <c r="B1254" s="2">
        <v>781.0</v>
      </c>
      <c r="C1254" s="2">
        <v>5.0</v>
      </c>
      <c r="D1254" s="2" t="s">
        <v>540</v>
      </c>
      <c r="E1254" s="2" t="s">
        <v>2208</v>
      </c>
      <c r="H1254" s="2">
        <v>4.0</v>
      </c>
      <c r="I1254" s="2">
        <v>0.0</v>
      </c>
      <c r="K1254" s="8" t="str">
        <f t="shared" si="1"/>
        <v>CALL InsertOrUpdateAtributosProductos ('4526','781','5','LITROS','20 litros','4','0');</v>
      </c>
    </row>
    <row r="1255">
      <c r="A1255" s="2">
        <v>4527.0</v>
      </c>
      <c r="B1255" s="2">
        <v>782.0</v>
      </c>
      <c r="C1255" s="2">
        <v>6.0</v>
      </c>
      <c r="D1255" s="2" t="s">
        <v>559</v>
      </c>
      <c r="E1255" s="2" t="s">
        <v>2773</v>
      </c>
      <c r="H1255" s="2">
        <v>1.0</v>
      </c>
      <c r="I1255" s="2">
        <v>0.0</v>
      </c>
      <c r="K1255" s="8" t="str">
        <f t="shared" si="1"/>
        <v>CALL InsertOrUpdateAtributosProductos ('4527','782','6','MARCA','Brikol','1','0');</v>
      </c>
    </row>
    <row r="1256">
      <c r="A1256" s="2">
        <v>4528.0</v>
      </c>
      <c r="B1256" s="2">
        <v>782.0</v>
      </c>
      <c r="C1256" s="2">
        <v>6.0</v>
      </c>
      <c r="D1256" s="2" t="s">
        <v>559</v>
      </c>
      <c r="E1256" s="2" t="s">
        <v>2199</v>
      </c>
      <c r="H1256" s="2">
        <v>2.0</v>
      </c>
      <c r="I1256" s="2">
        <v>0.0</v>
      </c>
      <c r="K1256" s="8" t="str">
        <f t="shared" si="1"/>
        <v>CALL InsertOrUpdateAtributosProductos ('4528','782','6','MARCA','Sherwin Williams','2','0');</v>
      </c>
    </row>
    <row r="1257">
      <c r="A1257" s="2">
        <v>4529.0</v>
      </c>
      <c r="B1257" s="2">
        <v>782.0</v>
      </c>
      <c r="C1257" s="2">
        <v>6.0</v>
      </c>
      <c r="D1257" s="2" t="s">
        <v>559</v>
      </c>
      <c r="E1257" s="2" t="s">
        <v>2200</v>
      </c>
      <c r="H1257" s="2">
        <v>3.0</v>
      </c>
      <c r="I1257" s="2">
        <v>0.0</v>
      </c>
      <c r="K1257" s="8" t="str">
        <f t="shared" si="1"/>
        <v>CALL InsertOrUpdateAtributosProductos ('4529','782','6','MARCA','Alba','3','0');</v>
      </c>
    </row>
    <row r="1258">
      <c r="A1258" s="2">
        <v>4530.0</v>
      </c>
      <c r="B1258" s="2">
        <v>782.0</v>
      </c>
      <c r="C1258" s="2">
        <v>6.0</v>
      </c>
      <c r="D1258" s="2" t="s">
        <v>559</v>
      </c>
      <c r="E1258" s="2" t="s">
        <v>2201</v>
      </c>
      <c r="H1258" s="2">
        <v>4.0</v>
      </c>
      <c r="I1258" s="2">
        <v>0.0</v>
      </c>
      <c r="K1258" s="8" t="str">
        <f t="shared" si="1"/>
        <v>CALL InsertOrUpdateAtributosProductos ('4530','782','6','MARCA','Sinteplast','4','0');</v>
      </c>
    </row>
    <row r="1259">
      <c r="A1259" s="2">
        <v>4531.0</v>
      </c>
      <c r="B1259" s="2">
        <v>782.0</v>
      </c>
      <c r="C1259" s="2">
        <v>6.0</v>
      </c>
      <c r="D1259" s="2" t="s">
        <v>559</v>
      </c>
      <c r="E1259" s="2" t="s">
        <v>2203</v>
      </c>
      <c r="H1259" s="2">
        <v>5.0</v>
      </c>
      <c r="I1259" s="2">
        <v>0.0</v>
      </c>
      <c r="K1259" s="8" t="str">
        <f t="shared" si="1"/>
        <v>CALL InsertOrUpdateAtributosProductos ('4531','782','6','MARCA','Colorín','5','0');</v>
      </c>
    </row>
    <row r="1260">
      <c r="A1260" s="2">
        <v>4532.0</v>
      </c>
      <c r="B1260" s="2">
        <v>782.0</v>
      </c>
      <c r="C1260" s="2">
        <v>6.0</v>
      </c>
      <c r="D1260" s="2" t="s">
        <v>559</v>
      </c>
      <c r="E1260" s="2" t="s">
        <v>2204</v>
      </c>
      <c r="H1260" s="2">
        <v>6.0</v>
      </c>
      <c r="I1260" s="2">
        <v>0.0</v>
      </c>
      <c r="K1260" s="8" t="str">
        <f t="shared" si="1"/>
        <v>CALL InsertOrUpdateAtributosProductos ('4532','782','6','MARCA','Tersuave','6','0');</v>
      </c>
    </row>
    <row r="1261">
      <c r="A1261" s="2">
        <v>4533.0</v>
      </c>
      <c r="B1261" s="2">
        <v>782.0</v>
      </c>
      <c r="C1261" s="2">
        <v>6.0</v>
      </c>
      <c r="D1261" s="2" t="s">
        <v>559</v>
      </c>
      <c r="E1261" s="2" t="s">
        <v>2209</v>
      </c>
      <c r="H1261" s="2">
        <v>7.0</v>
      </c>
      <c r="I1261" s="2">
        <v>0.0</v>
      </c>
      <c r="K1261" s="8" t="str">
        <f t="shared" si="1"/>
        <v>CALL InsertOrUpdateAtributosProductos ('4533','782','6','MARCA','Otra','7','0');</v>
      </c>
    </row>
    <row r="1262">
      <c r="A1262" s="2">
        <v>4534.0</v>
      </c>
      <c r="B1262" s="2">
        <v>782.0</v>
      </c>
      <c r="C1262" s="2">
        <v>5.0</v>
      </c>
      <c r="D1262" s="2" t="s">
        <v>540</v>
      </c>
      <c r="E1262" s="2" t="s">
        <v>2205</v>
      </c>
      <c r="H1262" s="2">
        <v>1.0</v>
      </c>
      <c r="I1262" s="2">
        <v>0.0</v>
      </c>
      <c r="K1262" s="8" t="str">
        <f t="shared" si="1"/>
        <v>CALL InsertOrUpdateAtributosProductos ('4534','782','5','LITROS','1 litro','1','0');</v>
      </c>
    </row>
    <row r="1263">
      <c r="A1263" s="2">
        <v>4535.0</v>
      </c>
      <c r="B1263" s="2">
        <v>782.0</v>
      </c>
      <c r="C1263" s="2">
        <v>5.0</v>
      </c>
      <c r="D1263" s="2" t="s">
        <v>540</v>
      </c>
      <c r="E1263" s="2" t="s">
        <v>2206</v>
      </c>
      <c r="H1263" s="2">
        <v>2.0</v>
      </c>
      <c r="I1263" s="2">
        <v>0.0</v>
      </c>
      <c r="K1263" s="8" t="str">
        <f t="shared" si="1"/>
        <v>CALL InsertOrUpdateAtributosProductos ('4535','782','5','LITROS','4 litros','2','0');</v>
      </c>
    </row>
    <row r="1264">
      <c r="A1264" s="2">
        <v>4536.0</v>
      </c>
      <c r="B1264" s="2">
        <v>782.0</v>
      </c>
      <c r="C1264" s="2">
        <v>5.0</v>
      </c>
      <c r="D1264" s="2" t="s">
        <v>540</v>
      </c>
      <c r="E1264" s="2" t="s">
        <v>2207</v>
      </c>
      <c r="H1264" s="2">
        <v>3.0</v>
      </c>
      <c r="I1264" s="2">
        <v>0.0</v>
      </c>
      <c r="K1264" s="8" t="str">
        <f t="shared" si="1"/>
        <v>CALL InsertOrUpdateAtributosProductos ('4536','782','5','LITROS','10 litros','3','0');</v>
      </c>
    </row>
    <row r="1265">
      <c r="A1265" s="2">
        <v>4537.0</v>
      </c>
      <c r="B1265" s="2">
        <v>782.0</v>
      </c>
      <c r="C1265" s="2">
        <v>5.0</v>
      </c>
      <c r="D1265" s="2" t="s">
        <v>540</v>
      </c>
      <c r="E1265" s="2" t="s">
        <v>2208</v>
      </c>
      <c r="H1265" s="2">
        <v>4.0</v>
      </c>
      <c r="I1265" s="2">
        <v>0.0</v>
      </c>
      <c r="K1265" s="8" t="str">
        <f t="shared" si="1"/>
        <v>CALL InsertOrUpdateAtributosProductos ('4537','782','5','LITROS','20 litros','4','0');</v>
      </c>
    </row>
    <row r="1266">
      <c r="A1266" s="2">
        <v>4538.0</v>
      </c>
      <c r="B1266" s="2">
        <v>783.0</v>
      </c>
      <c r="C1266" s="2">
        <v>6.0</v>
      </c>
      <c r="D1266" s="2" t="s">
        <v>559</v>
      </c>
      <c r="E1266" s="2" t="s">
        <v>2773</v>
      </c>
      <c r="H1266" s="2">
        <v>1.0</v>
      </c>
      <c r="I1266" s="2">
        <v>0.0</v>
      </c>
      <c r="K1266" s="8" t="str">
        <f t="shared" si="1"/>
        <v>CALL InsertOrUpdateAtributosProductos ('4538','783','6','MARCA','Brikol','1','0');</v>
      </c>
    </row>
    <row r="1267">
      <c r="A1267" s="2">
        <v>4539.0</v>
      </c>
      <c r="B1267" s="2">
        <v>783.0</v>
      </c>
      <c r="C1267" s="2">
        <v>6.0</v>
      </c>
      <c r="D1267" s="2" t="s">
        <v>559</v>
      </c>
      <c r="E1267" s="2" t="s">
        <v>2199</v>
      </c>
      <c r="H1267" s="2">
        <v>2.0</v>
      </c>
      <c r="I1267" s="2">
        <v>0.0</v>
      </c>
      <c r="K1267" s="8" t="str">
        <f t="shared" si="1"/>
        <v>CALL InsertOrUpdateAtributosProductos ('4539','783','6','MARCA','Sherwin Williams','2','0');</v>
      </c>
    </row>
    <row r="1268">
      <c r="A1268" s="2">
        <v>4540.0</v>
      </c>
      <c r="B1268" s="2">
        <v>783.0</v>
      </c>
      <c r="C1268" s="2">
        <v>6.0</v>
      </c>
      <c r="D1268" s="2" t="s">
        <v>559</v>
      </c>
      <c r="E1268" s="2" t="s">
        <v>2200</v>
      </c>
      <c r="H1268" s="2">
        <v>3.0</v>
      </c>
      <c r="I1268" s="2">
        <v>0.0</v>
      </c>
      <c r="K1268" s="8" t="str">
        <f t="shared" si="1"/>
        <v>CALL InsertOrUpdateAtributosProductos ('4540','783','6','MARCA','Alba','3','0');</v>
      </c>
    </row>
    <row r="1269">
      <c r="A1269" s="2">
        <v>4541.0</v>
      </c>
      <c r="B1269" s="2">
        <v>783.0</v>
      </c>
      <c r="C1269" s="2">
        <v>6.0</v>
      </c>
      <c r="D1269" s="2" t="s">
        <v>559</v>
      </c>
      <c r="E1269" s="2" t="s">
        <v>2201</v>
      </c>
      <c r="H1269" s="2">
        <v>4.0</v>
      </c>
      <c r="I1269" s="2">
        <v>0.0</v>
      </c>
      <c r="K1269" s="8" t="str">
        <f t="shared" si="1"/>
        <v>CALL InsertOrUpdateAtributosProductos ('4541','783','6','MARCA','Sinteplast','4','0');</v>
      </c>
    </row>
    <row r="1270">
      <c r="A1270" s="2">
        <v>4542.0</v>
      </c>
      <c r="B1270" s="2">
        <v>783.0</v>
      </c>
      <c r="C1270" s="2">
        <v>6.0</v>
      </c>
      <c r="D1270" s="2" t="s">
        <v>559</v>
      </c>
      <c r="E1270" s="2" t="s">
        <v>2203</v>
      </c>
      <c r="H1270" s="2">
        <v>5.0</v>
      </c>
      <c r="I1270" s="2">
        <v>0.0</v>
      </c>
      <c r="K1270" s="8" t="str">
        <f t="shared" si="1"/>
        <v>CALL InsertOrUpdateAtributosProductos ('4542','783','6','MARCA','Colorín','5','0');</v>
      </c>
    </row>
    <row r="1271">
      <c r="A1271" s="2">
        <v>4543.0</v>
      </c>
      <c r="B1271" s="2">
        <v>783.0</v>
      </c>
      <c r="C1271" s="2">
        <v>6.0</v>
      </c>
      <c r="D1271" s="2" t="s">
        <v>559</v>
      </c>
      <c r="E1271" s="2" t="s">
        <v>2204</v>
      </c>
      <c r="H1271" s="2">
        <v>6.0</v>
      </c>
      <c r="I1271" s="2">
        <v>0.0</v>
      </c>
      <c r="K1271" s="8" t="str">
        <f t="shared" si="1"/>
        <v>CALL InsertOrUpdateAtributosProductos ('4543','783','6','MARCA','Tersuave','6','0');</v>
      </c>
    </row>
    <row r="1272">
      <c r="A1272" s="2">
        <v>4544.0</v>
      </c>
      <c r="B1272" s="2">
        <v>783.0</v>
      </c>
      <c r="C1272" s="2">
        <v>6.0</v>
      </c>
      <c r="D1272" s="2" t="s">
        <v>559</v>
      </c>
      <c r="E1272" s="2" t="s">
        <v>2209</v>
      </c>
      <c r="H1272" s="2">
        <v>7.0</v>
      </c>
      <c r="I1272" s="2">
        <v>0.0</v>
      </c>
      <c r="K1272" s="8" t="str">
        <f t="shared" si="1"/>
        <v>CALL InsertOrUpdateAtributosProductos ('4544','783','6','MARCA','Otra','7','0');</v>
      </c>
    </row>
    <row r="1273">
      <c r="A1273" s="2">
        <v>4545.0</v>
      </c>
      <c r="B1273" s="2">
        <v>783.0</v>
      </c>
      <c r="C1273" s="2">
        <v>5.0</v>
      </c>
      <c r="D1273" s="2" t="s">
        <v>540</v>
      </c>
      <c r="E1273" s="2" t="s">
        <v>2205</v>
      </c>
      <c r="H1273" s="2">
        <v>1.0</v>
      </c>
      <c r="I1273" s="2">
        <v>0.0</v>
      </c>
      <c r="K1273" s="8" t="str">
        <f t="shared" si="1"/>
        <v>CALL InsertOrUpdateAtributosProductos ('4545','783','5','LITROS','1 litro','1','0');</v>
      </c>
    </row>
    <row r="1274">
      <c r="A1274" s="2">
        <v>4546.0</v>
      </c>
      <c r="B1274" s="2">
        <v>783.0</v>
      </c>
      <c r="C1274" s="2">
        <v>5.0</v>
      </c>
      <c r="D1274" s="2" t="s">
        <v>540</v>
      </c>
      <c r="E1274" s="2" t="s">
        <v>2206</v>
      </c>
      <c r="H1274" s="2">
        <v>2.0</v>
      </c>
      <c r="I1274" s="2">
        <v>0.0</v>
      </c>
      <c r="K1274" s="8" t="str">
        <f t="shared" si="1"/>
        <v>CALL InsertOrUpdateAtributosProductos ('4546','783','5','LITROS','4 litros','2','0');</v>
      </c>
    </row>
    <row r="1275">
      <c r="A1275" s="2">
        <v>4547.0</v>
      </c>
      <c r="B1275" s="2">
        <v>783.0</v>
      </c>
      <c r="C1275" s="2">
        <v>5.0</v>
      </c>
      <c r="D1275" s="2" t="s">
        <v>540</v>
      </c>
      <c r="E1275" s="2" t="s">
        <v>2207</v>
      </c>
      <c r="H1275" s="2">
        <v>3.0</v>
      </c>
      <c r="I1275" s="2">
        <v>0.0</v>
      </c>
      <c r="K1275" s="8" t="str">
        <f t="shared" si="1"/>
        <v>CALL InsertOrUpdateAtributosProductos ('4547','783','5','LITROS','10 litros','3','0');</v>
      </c>
    </row>
    <row r="1276">
      <c r="A1276" s="2">
        <v>4548.0</v>
      </c>
      <c r="B1276" s="2">
        <v>783.0</v>
      </c>
      <c r="C1276" s="2">
        <v>5.0</v>
      </c>
      <c r="D1276" s="2" t="s">
        <v>540</v>
      </c>
      <c r="E1276" s="2" t="s">
        <v>2208</v>
      </c>
      <c r="H1276" s="2">
        <v>4.0</v>
      </c>
      <c r="I1276" s="2">
        <v>0.0</v>
      </c>
      <c r="K1276" s="8" t="str">
        <f t="shared" si="1"/>
        <v>CALL InsertOrUpdateAtributosProductos ('4548','783','5','LITROS','20 litros','4','0');</v>
      </c>
    </row>
    <row r="1277">
      <c r="A1277" s="2">
        <v>4549.0</v>
      </c>
      <c r="B1277" s="2">
        <v>784.0</v>
      </c>
      <c r="C1277" s="2">
        <v>6.0</v>
      </c>
      <c r="D1277" s="2" t="s">
        <v>559</v>
      </c>
      <c r="E1277" s="2" t="s">
        <v>2199</v>
      </c>
      <c r="H1277" s="2">
        <v>1.0</v>
      </c>
      <c r="I1277" s="2">
        <v>0.0</v>
      </c>
      <c r="K1277" s="8" t="str">
        <f t="shared" si="1"/>
        <v>CALL InsertOrUpdateAtributosProductos ('4549','784','6','MARCA','Sherwin Williams','1','0');</v>
      </c>
    </row>
    <row r="1278">
      <c r="A1278" s="2">
        <v>4550.0</v>
      </c>
      <c r="B1278" s="2">
        <v>784.0</v>
      </c>
      <c r="C1278" s="2">
        <v>6.0</v>
      </c>
      <c r="D1278" s="2" t="s">
        <v>559</v>
      </c>
      <c r="E1278" s="2" t="s">
        <v>2200</v>
      </c>
      <c r="H1278" s="2">
        <v>2.0</v>
      </c>
      <c r="I1278" s="2">
        <v>0.0</v>
      </c>
      <c r="K1278" s="8" t="str">
        <f t="shared" si="1"/>
        <v>CALL InsertOrUpdateAtributosProductos ('4550','784','6','MARCA','Alba','2','0');</v>
      </c>
    </row>
    <row r="1279">
      <c r="A1279" s="2">
        <v>4551.0</v>
      </c>
      <c r="B1279" s="2">
        <v>784.0</v>
      </c>
      <c r="C1279" s="2">
        <v>6.0</v>
      </c>
      <c r="D1279" s="2" t="s">
        <v>559</v>
      </c>
      <c r="E1279" s="2" t="s">
        <v>2201</v>
      </c>
      <c r="H1279" s="2">
        <v>3.0</v>
      </c>
      <c r="I1279" s="2">
        <v>0.0</v>
      </c>
      <c r="K1279" s="8" t="str">
        <f t="shared" si="1"/>
        <v>CALL InsertOrUpdateAtributosProductos ('4551','784','6','MARCA','Sinteplast','3','0');</v>
      </c>
    </row>
    <row r="1280">
      <c r="A1280" s="2">
        <v>4552.0</v>
      </c>
      <c r="B1280" s="2">
        <v>784.0</v>
      </c>
      <c r="C1280" s="2">
        <v>6.0</v>
      </c>
      <c r="D1280" s="2" t="s">
        <v>559</v>
      </c>
      <c r="E1280" s="2" t="s">
        <v>2202</v>
      </c>
      <c r="H1280" s="2">
        <v>4.0</v>
      </c>
      <c r="I1280" s="2">
        <v>0.0</v>
      </c>
      <c r="K1280" s="8" t="str">
        <f t="shared" si="1"/>
        <v>CALL InsertOrUpdateAtributosProductos ('4552','784','6','MARCA','Casablanca','4','0');</v>
      </c>
    </row>
    <row r="1281">
      <c r="A1281" s="2">
        <v>4553.0</v>
      </c>
      <c r="B1281" s="2">
        <v>784.0</v>
      </c>
      <c r="C1281" s="2">
        <v>6.0</v>
      </c>
      <c r="D1281" s="2" t="s">
        <v>559</v>
      </c>
      <c r="E1281" s="2" t="s">
        <v>2203</v>
      </c>
      <c r="H1281" s="2">
        <v>5.0</v>
      </c>
      <c r="I1281" s="2">
        <v>0.0</v>
      </c>
      <c r="K1281" s="8" t="str">
        <f t="shared" si="1"/>
        <v>CALL InsertOrUpdateAtributosProductos ('4553','784','6','MARCA','Colorín','5','0');</v>
      </c>
    </row>
    <row r="1282">
      <c r="A1282" s="2">
        <v>4554.0</v>
      </c>
      <c r="B1282" s="2">
        <v>784.0</v>
      </c>
      <c r="C1282" s="2">
        <v>6.0</v>
      </c>
      <c r="D1282" s="2" t="s">
        <v>559</v>
      </c>
      <c r="E1282" s="2" t="s">
        <v>2204</v>
      </c>
      <c r="H1282" s="2">
        <v>6.0</v>
      </c>
      <c r="I1282" s="2">
        <v>0.0</v>
      </c>
      <c r="K1282" s="8" t="str">
        <f t="shared" si="1"/>
        <v>CALL InsertOrUpdateAtributosProductos ('4554','784','6','MARCA','Tersuave','6','0');</v>
      </c>
    </row>
    <row r="1283">
      <c r="A1283" s="2">
        <v>4555.0</v>
      </c>
      <c r="B1283" s="2">
        <v>784.0</v>
      </c>
      <c r="C1283" s="2">
        <v>6.0</v>
      </c>
      <c r="D1283" s="2" t="s">
        <v>559</v>
      </c>
      <c r="E1283" s="2" t="s">
        <v>2209</v>
      </c>
      <c r="H1283" s="2">
        <v>7.0</v>
      </c>
      <c r="I1283" s="2">
        <v>0.0</v>
      </c>
      <c r="K1283" s="8" t="str">
        <f t="shared" si="1"/>
        <v>CALL InsertOrUpdateAtributosProductos ('4555','784','6','MARCA','Otra','7','0');</v>
      </c>
    </row>
    <row r="1284">
      <c r="A1284" s="2">
        <v>4556.0</v>
      </c>
      <c r="B1284" s="2">
        <v>784.0</v>
      </c>
      <c r="C1284" s="2">
        <v>5.0</v>
      </c>
      <c r="D1284" s="2" t="s">
        <v>540</v>
      </c>
      <c r="E1284" s="2" t="s">
        <v>2205</v>
      </c>
      <c r="H1284" s="2">
        <v>1.0</v>
      </c>
      <c r="I1284" s="2">
        <v>0.0</v>
      </c>
      <c r="K1284" s="8" t="str">
        <f t="shared" si="1"/>
        <v>CALL InsertOrUpdateAtributosProductos ('4556','784','5','LITROS','1 litro','1','0');</v>
      </c>
    </row>
    <row r="1285">
      <c r="A1285" s="2">
        <v>4557.0</v>
      </c>
      <c r="B1285" s="2">
        <v>784.0</v>
      </c>
      <c r="C1285" s="2">
        <v>5.0</v>
      </c>
      <c r="D1285" s="2" t="s">
        <v>540</v>
      </c>
      <c r="E1285" s="2" t="s">
        <v>2206</v>
      </c>
      <c r="H1285" s="2">
        <v>2.0</v>
      </c>
      <c r="I1285" s="2">
        <v>0.0</v>
      </c>
      <c r="K1285" s="8" t="str">
        <f t="shared" si="1"/>
        <v>CALL InsertOrUpdateAtributosProductos ('4557','784','5','LITROS','4 litros','2','0');</v>
      </c>
    </row>
    <row r="1286">
      <c r="A1286" s="2">
        <v>4558.0</v>
      </c>
      <c r="B1286" s="2">
        <v>784.0</v>
      </c>
      <c r="C1286" s="2">
        <v>5.0</v>
      </c>
      <c r="D1286" s="2" t="s">
        <v>540</v>
      </c>
      <c r="E1286" s="2" t="s">
        <v>2207</v>
      </c>
      <c r="H1286" s="2">
        <v>3.0</v>
      </c>
      <c r="I1286" s="2">
        <v>0.0</v>
      </c>
      <c r="K1286" s="8" t="str">
        <f t="shared" si="1"/>
        <v>CALL InsertOrUpdateAtributosProductos ('4558','784','5','LITROS','10 litros','3','0');</v>
      </c>
    </row>
    <row r="1287">
      <c r="A1287" s="2">
        <v>4559.0</v>
      </c>
      <c r="B1287" s="2">
        <v>785.0</v>
      </c>
      <c r="C1287" s="2">
        <v>6.0</v>
      </c>
      <c r="D1287" s="2" t="s">
        <v>559</v>
      </c>
      <c r="E1287" s="2" t="s">
        <v>2199</v>
      </c>
      <c r="H1287" s="2">
        <v>1.0</v>
      </c>
      <c r="I1287" s="2">
        <v>0.0</v>
      </c>
      <c r="K1287" s="8" t="str">
        <f t="shared" si="1"/>
        <v>CALL InsertOrUpdateAtributosProductos ('4559','785','6','MARCA','Sherwin Williams','1','0');</v>
      </c>
    </row>
    <row r="1288">
      <c r="A1288" s="2">
        <v>4560.0</v>
      </c>
      <c r="B1288" s="2">
        <v>785.0</v>
      </c>
      <c r="C1288" s="2">
        <v>6.0</v>
      </c>
      <c r="D1288" s="2" t="s">
        <v>559</v>
      </c>
      <c r="E1288" s="2" t="s">
        <v>2200</v>
      </c>
      <c r="H1288" s="2">
        <v>2.0</v>
      </c>
      <c r="I1288" s="2">
        <v>0.0</v>
      </c>
      <c r="K1288" s="8" t="str">
        <f t="shared" si="1"/>
        <v>CALL InsertOrUpdateAtributosProductos ('4560','785','6','MARCA','Alba','2','0');</v>
      </c>
    </row>
    <row r="1289">
      <c r="A1289" s="2">
        <v>4561.0</v>
      </c>
      <c r="B1289" s="2">
        <v>785.0</v>
      </c>
      <c r="C1289" s="2">
        <v>6.0</v>
      </c>
      <c r="D1289" s="2" t="s">
        <v>559</v>
      </c>
      <c r="E1289" s="2" t="s">
        <v>2201</v>
      </c>
      <c r="H1289" s="2">
        <v>3.0</v>
      </c>
      <c r="I1289" s="2">
        <v>0.0</v>
      </c>
      <c r="K1289" s="8" t="str">
        <f t="shared" si="1"/>
        <v>CALL InsertOrUpdateAtributosProductos ('4561','785','6','MARCA','Sinteplast','3','0');</v>
      </c>
    </row>
    <row r="1290">
      <c r="A1290" s="2">
        <v>4562.0</v>
      </c>
      <c r="B1290" s="2">
        <v>785.0</v>
      </c>
      <c r="C1290" s="2">
        <v>6.0</v>
      </c>
      <c r="D1290" s="2" t="s">
        <v>559</v>
      </c>
      <c r="E1290" s="2" t="s">
        <v>2202</v>
      </c>
      <c r="H1290" s="2">
        <v>4.0</v>
      </c>
      <c r="I1290" s="2">
        <v>0.0</v>
      </c>
      <c r="K1290" s="8" t="str">
        <f t="shared" si="1"/>
        <v>CALL InsertOrUpdateAtributosProductos ('4562','785','6','MARCA','Casablanca','4','0');</v>
      </c>
    </row>
    <row r="1291">
      <c r="A1291" s="2">
        <v>4563.0</v>
      </c>
      <c r="B1291" s="2">
        <v>785.0</v>
      </c>
      <c r="C1291" s="2">
        <v>6.0</v>
      </c>
      <c r="D1291" s="2" t="s">
        <v>559</v>
      </c>
      <c r="E1291" s="2" t="s">
        <v>2203</v>
      </c>
      <c r="H1291" s="2">
        <v>5.0</v>
      </c>
      <c r="I1291" s="2">
        <v>0.0</v>
      </c>
      <c r="K1291" s="8" t="str">
        <f t="shared" si="1"/>
        <v>CALL InsertOrUpdateAtributosProductos ('4563','785','6','MARCA','Colorín','5','0');</v>
      </c>
    </row>
    <row r="1292">
      <c r="A1292" s="2">
        <v>4564.0</v>
      </c>
      <c r="B1292" s="2">
        <v>785.0</v>
      </c>
      <c r="C1292" s="2">
        <v>6.0</v>
      </c>
      <c r="D1292" s="2" t="s">
        <v>559</v>
      </c>
      <c r="E1292" s="2" t="s">
        <v>2204</v>
      </c>
      <c r="H1292" s="2">
        <v>6.0</v>
      </c>
      <c r="I1292" s="2">
        <v>0.0</v>
      </c>
      <c r="K1292" s="8" t="str">
        <f t="shared" si="1"/>
        <v>CALL InsertOrUpdateAtributosProductos ('4564','785','6','MARCA','Tersuave','6','0');</v>
      </c>
    </row>
    <row r="1293">
      <c r="A1293" s="2">
        <v>4565.0</v>
      </c>
      <c r="B1293" s="2">
        <v>785.0</v>
      </c>
      <c r="C1293" s="2">
        <v>6.0</v>
      </c>
      <c r="D1293" s="2" t="s">
        <v>559</v>
      </c>
      <c r="E1293" s="2" t="s">
        <v>2209</v>
      </c>
      <c r="H1293" s="2">
        <v>7.0</v>
      </c>
      <c r="I1293" s="2">
        <v>0.0</v>
      </c>
      <c r="K1293" s="8" t="str">
        <f t="shared" si="1"/>
        <v>CALL InsertOrUpdateAtributosProductos ('4565','785','6','MARCA','Otra','7','0');</v>
      </c>
    </row>
    <row r="1294">
      <c r="A1294" s="2">
        <v>4566.0</v>
      </c>
      <c r="B1294" s="2">
        <v>785.0</v>
      </c>
      <c r="C1294" s="2">
        <v>5.0</v>
      </c>
      <c r="D1294" s="2" t="s">
        <v>540</v>
      </c>
      <c r="E1294" s="2" t="s">
        <v>2205</v>
      </c>
      <c r="H1294" s="2">
        <v>1.0</v>
      </c>
      <c r="I1294" s="2">
        <v>0.0</v>
      </c>
      <c r="K1294" s="8" t="str">
        <f t="shared" si="1"/>
        <v>CALL InsertOrUpdateAtributosProductos ('4566','785','5','LITROS','1 litro','1','0');</v>
      </c>
    </row>
    <row r="1295">
      <c r="A1295" s="2">
        <v>4567.0</v>
      </c>
      <c r="B1295" s="2">
        <v>785.0</v>
      </c>
      <c r="C1295" s="2">
        <v>5.0</v>
      </c>
      <c r="D1295" s="2" t="s">
        <v>540</v>
      </c>
      <c r="E1295" s="2" t="s">
        <v>2206</v>
      </c>
      <c r="H1295" s="2">
        <v>2.0</v>
      </c>
      <c r="I1295" s="2">
        <v>0.0</v>
      </c>
      <c r="K1295" s="8" t="str">
        <f t="shared" si="1"/>
        <v>CALL InsertOrUpdateAtributosProductos ('4567','785','5','LITROS','4 litros','2','0');</v>
      </c>
    </row>
    <row r="1296">
      <c r="A1296" s="2">
        <v>4568.0</v>
      </c>
      <c r="B1296" s="2">
        <v>785.0</v>
      </c>
      <c r="C1296" s="2">
        <v>5.0</v>
      </c>
      <c r="D1296" s="2" t="s">
        <v>540</v>
      </c>
      <c r="E1296" s="2" t="s">
        <v>2207</v>
      </c>
      <c r="H1296" s="2">
        <v>3.0</v>
      </c>
      <c r="I1296" s="2">
        <v>0.0</v>
      </c>
      <c r="K1296" s="8" t="str">
        <f t="shared" si="1"/>
        <v>CALL InsertOrUpdateAtributosProductos ('4568','785','5','LITROS','10 litros','3','0');</v>
      </c>
    </row>
    <row r="1297">
      <c r="A1297" s="2">
        <v>4569.0</v>
      </c>
      <c r="B1297" s="2">
        <v>786.0</v>
      </c>
      <c r="C1297" s="2">
        <v>6.0</v>
      </c>
      <c r="D1297" s="2" t="s">
        <v>559</v>
      </c>
      <c r="E1297" s="2" t="s">
        <v>2199</v>
      </c>
      <c r="H1297" s="2">
        <v>1.0</v>
      </c>
      <c r="I1297" s="2">
        <v>0.0</v>
      </c>
      <c r="K1297" s="8" t="str">
        <f t="shared" si="1"/>
        <v>CALL InsertOrUpdateAtributosProductos ('4569','786','6','MARCA','Sherwin Williams','1','0');</v>
      </c>
    </row>
    <row r="1298">
      <c r="A1298" s="2">
        <v>4570.0</v>
      </c>
      <c r="B1298" s="2">
        <v>786.0</v>
      </c>
      <c r="C1298" s="2">
        <v>6.0</v>
      </c>
      <c r="D1298" s="2" t="s">
        <v>559</v>
      </c>
      <c r="E1298" s="2" t="s">
        <v>2200</v>
      </c>
      <c r="H1298" s="2">
        <v>2.0</v>
      </c>
      <c r="I1298" s="2">
        <v>0.0</v>
      </c>
      <c r="K1298" s="8" t="str">
        <f t="shared" si="1"/>
        <v>CALL InsertOrUpdateAtributosProductos ('4570','786','6','MARCA','Alba','2','0');</v>
      </c>
    </row>
    <row r="1299">
      <c r="A1299" s="2">
        <v>4571.0</v>
      </c>
      <c r="B1299" s="2">
        <v>786.0</v>
      </c>
      <c r="C1299" s="2">
        <v>6.0</v>
      </c>
      <c r="D1299" s="2" t="s">
        <v>559</v>
      </c>
      <c r="E1299" s="2" t="s">
        <v>2201</v>
      </c>
      <c r="H1299" s="2">
        <v>3.0</v>
      </c>
      <c r="I1299" s="2">
        <v>0.0</v>
      </c>
      <c r="K1299" s="8" t="str">
        <f t="shared" si="1"/>
        <v>CALL InsertOrUpdateAtributosProductos ('4571','786','6','MARCA','Sinteplast','3','0');</v>
      </c>
    </row>
    <row r="1300">
      <c r="A1300" s="2">
        <v>4572.0</v>
      </c>
      <c r="B1300" s="2">
        <v>786.0</v>
      </c>
      <c r="C1300" s="2">
        <v>6.0</v>
      </c>
      <c r="D1300" s="2" t="s">
        <v>559</v>
      </c>
      <c r="E1300" s="2" t="s">
        <v>2202</v>
      </c>
      <c r="H1300" s="2">
        <v>4.0</v>
      </c>
      <c r="I1300" s="2">
        <v>0.0</v>
      </c>
      <c r="K1300" s="8" t="str">
        <f t="shared" si="1"/>
        <v>CALL InsertOrUpdateAtributosProductos ('4572','786','6','MARCA','Casablanca','4','0');</v>
      </c>
    </row>
    <row r="1301">
      <c r="A1301" s="2">
        <v>4573.0</v>
      </c>
      <c r="B1301" s="2">
        <v>786.0</v>
      </c>
      <c r="C1301" s="2">
        <v>6.0</v>
      </c>
      <c r="D1301" s="2" t="s">
        <v>559</v>
      </c>
      <c r="E1301" s="2" t="s">
        <v>2203</v>
      </c>
      <c r="H1301" s="2">
        <v>5.0</v>
      </c>
      <c r="I1301" s="2">
        <v>0.0</v>
      </c>
      <c r="K1301" s="8" t="str">
        <f t="shared" si="1"/>
        <v>CALL InsertOrUpdateAtributosProductos ('4573','786','6','MARCA','Colorín','5','0');</v>
      </c>
    </row>
    <row r="1302">
      <c r="A1302" s="2">
        <v>4574.0</v>
      </c>
      <c r="B1302" s="2">
        <v>786.0</v>
      </c>
      <c r="C1302" s="2">
        <v>6.0</v>
      </c>
      <c r="D1302" s="2" t="s">
        <v>559</v>
      </c>
      <c r="E1302" s="2" t="s">
        <v>2204</v>
      </c>
      <c r="H1302" s="2">
        <v>6.0</v>
      </c>
      <c r="I1302" s="2">
        <v>0.0</v>
      </c>
      <c r="K1302" s="8" t="str">
        <f t="shared" si="1"/>
        <v>CALL InsertOrUpdateAtributosProductos ('4574','786','6','MARCA','Tersuave','6','0');</v>
      </c>
    </row>
    <row r="1303">
      <c r="A1303" s="2">
        <v>4575.0</v>
      </c>
      <c r="B1303" s="2">
        <v>786.0</v>
      </c>
      <c r="C1303" s="2">
        <v>6.0</v>
      </c>
      <c r="D1303" s="2" t="s">
        <v>559</v>
      </c>
      <c r="E1303" s="2" t="s">
        <v>2209</v>
      </c>
      <c r="H1303" s="2">
        <v>7.0</v>
      </c>
      <c r="I1303" s="2">
        <v>0.0</v>
      </c>
      <c r="K1303" s="8" t="str">
        <f t="shared" si="1"/>
        <v>CALL InsertOrUpdateAtributosProductos ('4575','786','6','MARCA','Otra','7','0');</v>
      </c>
    </row>
    <row r="1304">
      <c r="A1304" s="2">
        <v>4576.0</v>
      </c>
      <c r="B1304" s="2">
        <v>786.0</v>
      </c>
      <c r="C1304" s="2">
        <v>5.0</v>
      </c>
      <c r="D1304" s="2" t="s">
        <v>540</v>
      </c>
      <c r="E1304" s="2" t="s">
        <v>2205</v>
      </c>
      <c r="H1304" s="2">
        <v>1.0</v>
      </c>
      <c r="I1304" s="2">
        <v>0.0</v>
      </c>
      <c r="K1304" s="8" t="str">
        <f t="shared" si="1"/>
        <v>CALL InsertOrUpdateAtributosProductos ('4576','786','5','LITROS','1 litro','1','0');</v>
      </c>
    </row>
    <row r="1305">
      <c r="A1305" s="2">
        <v>4577.0</v>
      </c>
      <c r="B1305" s="2">
        <v>786.0</v>
      </c>
      <c r="C1305" s="2">
        <v>5.0</v>
      </c>
      <c r="D1305" s="2" t="s">
        <v>540</v>
      </c>
      <c r="E1305" s="2" t="s">
        <v>2206</v>
      </c>
      <c r="H1305" s="2">
        <v>2.0</v>
      </c>
      <c r="I1305" s="2">
        <v>0.0</v>
      </c>
      <c r="K1305" s="8" t="str">
        <f t="shared" si="1"/>
        <v>CALL InsertOrUpdateAtributosProductos ('4577','786','5','LITROS','4 litros','2','0');</v>
      </c>
    </row>
    <row r="1306">
      <c r="A1306" s="2">
        <v>4578.0</v>
      </c>
      <c r="B1306" s="2">
        <v>786.0</v>
      </c>
      <c r="C1306" s="2">
        <v>5.0</v>
      </c>
      <c r="D1306" s="2" t="s">
        <v>540</v>
      </c>
      <c r="E1306" s="2" t="s">
        <v>2207</v>
      </c>
      <c r="H1306" s="2">
        <v>3.0</v>
      </c>
      <c r="I1306" s="2">
        <v>0.0</v>
      </c>
      <c r="K1306" s="8" t="str">
        <f t="shared" si="1"/>
        <v>CALL InsertOrUpdateAtributosProductos ('4578','786','5','LITROS','10 litros','3','0');</v>
      </c>
    </row>
    <row r="1307">
      <c r="A1307" s="2">
        <v>4579.0</v>
      </c>
      <c r="B1307" s="2">
        <v>787.0</v>
      </c>
      <c r="C1307" s="2">
        <v>6.0</v>
      </c>
      <c r="D1307" s="2" t="s">
        <v>559</v>
      </c>
      <c r="E1307" s="2" t="s">
        <v>2199</v>
      </c>
      <c r="H1307" s="2">
        <v>1.0</v>
      </c>
      <c r="I1307" s="2">
        <v>0.0</v>
      </c>
      <c r="K1307" s="8" t="str">
        <f t="shared" si="1"/>
        <v>CALL InsertOrUpdateAtributosProductos ('4579','787','6','MARCA','Sherwin Williams','1','0');</v>
      </c>
    </row>
    <row r="1308">
      <c r="A1308" s="2">
        <v>4580.0</v>
      </c>
      <c r="B1308" s="2">
        <v>787.0</v>
      </c>
      <c r="C1308" s="2">
        <v>6.0</v>
      </c>
      <c r="D1308" s="2" t="s">
        <v>559</v>
      </c>
      <c r="E1308" s="2" t="s">
        <v>2200</v>
      </c>
      <c r="H1308" s="2">
        <v>2.0</v>
      </c>
      <c r="I1308" s="2">
        <v>0.0</v>
      </c>
      <c r="K1308" s="8" t="str">
        <f t="shared" si="1"/>
        <v>CALL InsertOrUpdateAtributosProductos ('4580','787','6','MARCA','Alba','2','0');</v>
      </c>
    </row>
    <row r="1309">
      <c r="A1309" s="2">
        <v>4581.0</v>
      </c>
      <c r="B1309" s="2">
        <v>787.0</v>
      </c>
      <c r="C1309" s="2">
        <v>6.0</v>
      </c>
      <c r="D1309" s="2" t="s">
        <v>559</v>
      </c>
      <c r="E1309" s="2" t="s">
        <v>2201</v>
      </c>
      <c r="H1309" s="2">
        <v>3.0</v>
      </c>
      <c r="I1309" s="2">
        <v>0.0</v>
      </c>
      <c r="K1309" s="8" t="str">
        <f t="shared" si="1"/>
        <v>CALL InsertOrUpdateAtributosProductos ('4581','787','6','MARCA','Sinteplast','3','0');</v>
      </c>
    </row>
    <row r="1310">
      <c r="A1310" s="2">
        <v>4582.0</v>
      </c>
      <c r="B1310" s="2">
        <v>787.0</v>
      </c>
      <c r="C1310" s="2">
        <v>6.0</v>
      </c>
      <c r="D1310" s="2" t="s">
        <v>559</v>
      </c>
      <c r="E1310" s="2" t="s">
        <v>2203</v>
      </c>
      <c r="H1310" s="2">
        <v>4.0</v>
      </c>
      <c r="I1310" s="2">
        <v>0.0</v>
      </c>
      <c r="K1310" s="8" t="str">
        <f t="shared" si="1"/>
        <v>CALL InsertOrUpdateAtributosProductos ('4582','787','6','MARCA','Colorín','4','0');</v>
      </c>
    </row>
    <row r="1311">
      <c r="A1311" s="2">
        <v>4583.0</v>
      </c>
      <c r="B1311" s="2">
        <v>787.0</v>
      </c>
      <c r="C1311" s="2">
        <v>6.0</v>
      </c>
      <c r="D1311" s="2" t="s">
        <v>559</v>
      </c>
      <c r="E1311" s="2" t="s">
        <v>2204</v>
      </c>
      <c r="H1311" s="2">
        <v>5.0</v>
      </c>
      <c r="I1311" s="2">
        <v>0.0</v>
      </c>
      <c r="K1311" s="8" t="str">
        <f t="shared" si="1"/>
        <v>CALL InsertOrUpdateAtributosProductos ('4583','787','6','MARCA','Tersuave','5','0');</v>
      </c>
    </row>
    <row r="1312">
      <c r="A1312" s="2">
        <v>4584.0</v>
      </c>
      <c r="B1312" s="2">
        <v>787.0</v>
      </c>
      <c r="C1312" s="2">
        <v>6.0</v>
      </c>
      <c r="D1312" s="2" t="s">
        <v>559</v>
      </c>
      <c r="E1312" s="2" t="s">
        <v>2209</v>
      </c>
      <c r="H1312" s="2">
        <v>6.0</v>
      </c>
      <c r="I1312" s="2">
        <v>0.0</v>
      </c>
      <c r="K1312" s="8" t="str">
        <f t="shared" si="1"/>
        <v>CALL InsertOrUpdateAtributosProductos ('4584','787','6','MARCA','Otra','6','0');</v>
      </c>
    </row>
    <row r="1313">
      <c r="A1313" s="2">
        <v>4585.0</v>
      </c>
      <c r="B1313" s="2">
        <v>787.0</v>
      </c>
      <c r="C1313" s="2">
        <v>5.0</v>
      </c>
      <c r="D1313" s="2" t="s">
        <v>540</v>
      </c>
      <c r="E1313" s="2" t="s">
        <v>2205</v>
      </c>
      <c r="H1313" s="2">
        <v>1.0</v>
      </c>
      <c r="I1313" s="2">
        <v>0.0</v>
      </c>
      <c r="K1313" s="8" t="str">
        <f t="shared" si="1"/>
        <v>CALL InsertOrUpdateAtributosProductos ('4585','787','5','LITROS','1 litro','1','0');</v>
      </c>
    </row>
    <row r="1314">
      <c r="A1314" s="2">
        <v>4586.0</v>
      </c>
      <c r="B1314" s="2">
        <v>787.0</v>
      </c>
      <c r="C1314" s="2">
        <v>5.0</v>
      </c>
      <c r="D1314" s="2" t="s">
        <v>540</v>
      </c>
      <c r="E1314" s="2" t="s">
        <v>2206</v>
      </c>
      <c r="H1314" s="2">
        <v>2.0</v>
      </c>
      <c r="I1314" s="2">
        <v>0.0</v>
      </c>
      <c r="K1314" s="8" t="str">
        <f t="shared" si="1"/>
        <v>CALL InsertOrUpdateAtributosProductos ('4586','787','5','LITROS','4 litros','2','0');</v>
      </c>
    </row>
    <row r="1315">
      <c r="A1315" s="2">
        <v>4587.0</v>
      </c>
      <c r="B1315" s="2">
        <v>787.0</v>
      </c>
      <c r="C1315" s="2">
        <v>5.0</v>
      </c>
      <c r="D1315" s="2" t="s">
        <v>540</v>
      </c>
      <c r="E1315" s="2" t="s">
        <v>2207</v>
      </c>
      <c r="H1315" s="2">
        <v>3.0</v>
      </c>
      <c r="I1315" s="2">
        <v>0.0</v>
      </c>
      <c r="K1315" s="8" t="str">
        <f t="shared" si="1"/>
        <v>CALL InsertOrUpdateAtributosProductos ('4587','787','5','LITROS','10 litros','3','0');</v>
      </c>
    </row>
    <row r="1316">
      <c r="A1316" s="2">
        <v>4588.0</v>
      </c>
      <c r="B1316" s="2">
        <v>788.0</v>
      </c>
      <c r="C1316" s="2">
        <v>6.0</v>
      </c>
      <c r="D1316" s="2" t="s">
        <v>559</v>
      </c>
      <c r="E1316" s="2" t="s">
        <v>2199</v>
      </c>
      <c r="H1316" s="2">
        <v>1.0</v>
      </c>
      <c r="I1316" s="2">
        <v>0.0</v>
      </c>
      <c r="K1316" s="8" t="str">
        <f t="shared" si="1"/>
        <v>CALL InsertOrUpdateAtributosProductos ('4588','788','6','MARCA','Sherwin Williams','1','0');</v>
      </c>
    </row>
    <row r="1317">
      <c r="A1317" s="2">
        <v>4589.0</v>
      </c>
      <c r="B1317" s="2">
        <v>788.0</v>
      </c>
      <c r="C1317" s="2">
        <v>6.0</v>
      </c>
      <c r="D1317" s="2" t="s">
        <v>559</v>
      </c>
      <c r="E1317" s="2" t="s">
        <v>2200</v>
      </c>
      <c r="H1317" s="2">
        <v>2.0</v>
      </c>
      <c r="I1317" s="2">
        <v>0.0</v>
      </c>
      <c r="K1317" s="8" t="str">
        <f t="shared" si="1"/>
        <v>CALL InsertOrUpdateAtributosProductos ('4589','788','6','MARCA','Alba','2','0');</v>
      </c>
    </row>
    <row r="1318">
      <c r="A1318" s="2">
        <v>4590.0</v>
      </c>
      <c r="B1318" s="2">
        <v>788.0</v>
      </c>
      <c r="C1318" s="2">
        <v>6.0</v>
      </c>
      <c r="D1318" s="2" t="s">
        <v>559</v>
      </c>
      <c r="E1318" s="2" t="s">
        <v>2201</v>
      </c>
      <c r="H1318" s="2">
        <v>3.0</v>
      </c>
      <c r="I1318" s="2">
        <v>0.0</v>
      </c>
      <c r="K1318" s="8" t="str">
        <f t="shared" si="1"/>
        <v>CALL InsertOrUpdateAtributosProductos ('4590','788','6','MARCA','Sinteplast','3','0');</v>
      </c>
    </row>
    <row r="1319">
      <c r="A1319" s="2">
        <v>4591.0</v>
      </c>
      <c r="B1319" s="2">
        <v>788.0</v>
      </c>
      <c r="C1319" s="2">
        <v>6.0</v>
      </c>
      <c r="D1319" s="2" t="s">
        <v>559</v>
      </c>
      <c r="E1319" s="2" t="s">
        <v>2203</v>
      </c>
      <c r="H1319" s="2">
        <v>4.0</v>
      </c>
      <c r="I1319" s="2">
        <v>0.0</v>
      </c>
      <c r="K1319" s="8" t="str">
        <f t="shared" si="1"/>
        <v>CALL InsertOrUpdateAtributosProductos ('4591','788','6','MARCA','Colorín','4','0');</v>
      </c>
    </row>
    <row r="1320">
      <c r="A1320" s="2">
        <v>4592.0</v>
      </c>
      <c r="B1320" s="2">
        <v>788.0</v>
      </c>
      <c r="C1320" s="2">
        <v>6.0</v>
      </c>
      <c r="D1320" s="2" t="s">
        <v>559</v>
      </c>
      <c r="E1320" s="2" t="s">
        <v>2204</v>
      </c>
      <c r="H1320" s="2">
        <v>5.0</v>
      </c>
      <c r="I1320" s="2">
        <v>0.0</v>
      </c>
      <c r="K1320" s="8" t="str">
        <f t="shared" si="1"/>
        <v>CALL InsertOrUpdateAtributosProductos ('4592','788','6','MARCA','Tersuave','5','0');</v>
      </c>
    </row>
    <row r="1321">
      <c r="A1321" s="2">
        <v>4593.0</v>
      </c>
      <c r="B1321" s="2">
        <v>788.0</v>
      </c>
      <c r="C1321" s="2">
        <v>6.0</v>
      </c>
      <c r="D1321" s="2" t="s">
        <v>559</v>
      </c>
      <c r="E1321" s="2" t="s">
        <v>2209</v>
      </c>
      <c r="H1321" s="2">
        <v>6.0</v>
      </c>
      <c r="I1321" s="2">
        <v>0.0</v>
      </c>
      <c r="K1321" s="8" t="str">
        <f t="shared" si="1"/>
        <v>CALL InsertOrUpdateAtributosProductos ('4593','788','6','MARCA','Otra','6','0');</v>
      </c>
    </row>
    <row r="1322">
      <c r="A1322" s="2">
        <v>4594.0</v>
      </c>
      <c r="B1322" s="2">
        <v>788.0</v>
      </c>
      <c r="C1322" s="2">
        <v>5.0</v>
      </c>
      <c r="D1322" s="2" t="s">
        <v>540</v>
      </c>
      <c r="E1322" s="2" t="s">
        <v>2205</v>
      </c>
      <c r="H1322" s="2">
        <v>1.0</v>
      </c>
      <c r="I1322" s="2">
        <v>0.0</v>
      </c>
      <c r="K1322" s="8" t="str">
        <f t="shared" si="1"/>
        <v>CALL InsertOrUpdateAtributosProductos ('4594','788','5','LITROS','1 litro','1','0');</v>
      </c>
    </row>
    <row r="1323">
      <c r="A1323" s="2">
        <v>4595.0</v>
      </c>
      <c r="B1323" s="2">
        <v>788.0</v>
      </c>
      <c r="C1323" s="2">
        <v>5.0</v>
      </c>
      <c r="D1323" s="2" t="s">
        <v>540</v>
      </c>
      <c r="E1323" s="2" t="s">
        <v>2206</v>
      </c>
      <c r="H1323" s="2">
        <v>2.0</v>
      </c>
      <c r="I1323" s="2">
        <v>0.0</v>
      </c>
      <c r="K1323" s="8" t="str">
        <f t="shared" si="1"/>
        <v>CALL InsertOrUpdateAtributosProductos ('4595','788','5','LITROS','4 litros','2','0');</v>
      </c>
    </row>
    <row r="1324">
      <c r="A1324" s="2">
        <v>4596.0</v>
      </c>
      <c r="B1324" s="2">
        <v>788.0</v>
      </c>
      <c r="C1324" s="2">
        <v>5.0</v>
      </c>
      <c r="D1324" s="2" t="s">
        <v>540</v>
      </c>
      <c r="E1324" s="2" t="s">
        <v>2207</v>
      </c>
      <c r="H1324" s="2">
        <v>3.0</v>
      </c>
      <c r="I1324" s="2">
        <v>0.0</v>
      </c>
      <c r="K1324" s="8" t="str">
        <f t="shared" si="1"/>
        <v>CALL InsertOrUpdateAtributosProductos ('4596','788','5','LITROS','10 litros','3','0');</v>
      </c>
    </row>
    <row r="1325">
      <c r="A1325" s="2">
        <v>4597.0</v>
      </c>
      <c r="B1325" s="2">
        <v>789.0</v>
      </c>
      <c r="C1325" s="2">
        <v>6.0</v>
      </c>
      <c r="D1325" s="2" t="s">
        <v>559</v>
      </c>
      <c r="E1325" s="2" t="s">
        <v>2199</v>
      </c>
      <c r="H1325" s="2">
        <v>1.0</v>
      </c>
      <c r="I1325" s="2">
        <v>0.0</v>
      </c>
      <c r="K1325" s="8" t="str">
        <f t="shared" si="1"/>
        <v>CALL InsertOrUpdateAtributosProductos ('4597','789','6','MARCA','Sherwin Williams','1','0');</v>
      </c>
    </row>
    <row r="1326">
      <c r="A1326" s="2">
        <v>4598.0</v>
      </c>
      <c r="B1326" s="2">
        <v>789.0</v>
      </c>
      <c r="C1326" s="2">
        <v>6.0</v>
      </c>
      <c r="D1326" s="2" t="s">
        <v>559</v>
      </c>
      <c r="E1326" s="2" t="s">
        <v>2200</v>
      </c>
      <c r="H1326" s="2">
        <v>2.0</v>
      </c>
      <c r="I1326" s="2">
        <v>0.0</v>
      </c>
      <c r="K1326" s="8" t="str">
        <f t="shared" si="1"/>
        <v>CALL InsertOrUpdateAtributosProductos ('4598','789','6','MARCA','Alba','2','0');</v>
      </c>
    </row>
    <row r="1327">
      <c r="A1327" s="2">
        <v>4599.0</v>
      </c>
      <c r="B1327" s="2">
        <v>789.0</v>
      </c>
      <c r="C1327" s="2">
        <v>6.0</v>
      </c>
      <c r="D1327" s="2" t="s">
        <v>559</v>
      </c>
      <c r="E1327" s="2" t="s">
        <v>2201</v>
      </c>
      <c r="H1327" s="2">
        <v>3.0</v>
      </c>
      <c r="I1327" s="2">
        <v>0.0</v>
      </c>
      <c r="K1327" s="8" t="str">
        <f t="shared" si="1"/>
        <v>CALL InsertOrUpdateAtributosProductos ('4599','789','6','MARCA','Sinteplast','3','0');</v>
      </c>
    </row>
    <row r="1328">
      <c r="A1328" s="2">
        <v>4600.0</v>
      </c>
      <c r="B1328" s="2">
        <v>789.0</v>
      </c>
      <c r="C1328" s="2">
        <v>6.0</v>
      </c>
      <c r="D1328" s="2" t="s">
        <v>559</v>
      </c>
      <c r="E1328" s="2" t="s">
        <v>2203</v>
      </c>
      <c r="H1328" s="2">
        <v>4.0</v>
      </c>
      <c r="I1328" s="2">
        <v>0.0</v>
      </c>
      <c r="K1328" s="8" t="str">
        <f t="shared" si="1"/>
        <v>CALL InsertOrUpdateAtributosProductos ('4600','789','6','MARCA','Colorín','4','0');</v>
      </c>
    </row>
    <row r="1329">
      <c r="A1329" s="2">
        <v>4601.0</v>
      </c>
      <c r="B1329" s="2">
        <v>789.0</v>
      </c>
      <c r="C1329" s="2">
        <v>6.0</v>
      </c>
      <c r="D1329" s="2" t="s">
        <v>559</v>
      </c>
      <c r="E1329" s="2" t="s">
        <v>2204</v>
      </c>
      <c r="H1329" s="2">
        <v>5.0</v>
      </c>
      <c r="I1329" s="2">
        <v>0.0</v>
      </c>
      <c r="K1329" s="8" t="str">
        <f t="shared" si="1"/>
        <v>CALL InsertOrUpdateAtributosProductos ('4601','789','6','MARCA','Tersuave','5','0');</v>
      </c>
    </row>
    <row r="1330">
      <c r="A1330" s="2">
        <v>4602.0</v>
      </c>
      <c r="B1330" s="2">
        <v>789.0</v>
      </c>
      <c r="C1330" s="2">
        <v>6.0</v>
      </c>
      <c r="D1330" s="2" t="s">
        <v>559</v>
      </c>
      <c r="E1330" s="2" t="s">
        <v>2209</v>
      </c>
      <c r="H1330" s="2">
        <v>6.0</v>
      </c>
      <c r="I1330" s="2">
        <v>0.0</v>
      </c>
      <c r="K1330" s="8" t="str">
        <f t="shared" si="1"/>
        <v>CALL InsertOrUpdateAtributosProductos ('4602','789','6','MARCA','Otra','6','0');</v>
      </c>
    </row>
    <row r="1331">
      <c r="A1331" s="2">
        <v>4603.0</v>
      </c>
      <c r="B1331" s="2">
        <v>789.0</v>
      </c>
      <c r="C1331" s="2">
        <v>5.0</v>
      </c>
      <c r="D1331" s="2" t="s">
        <v>540</v>
      </c>
      <c r="E1331" s="2" t="s">
        <v>2205</v>
      </c>
      <c r="H1331" s="2">
        <v>1.0</v>
      </c>
      <c r="I1331" s="2">
        <v>0.0</v>
      </c>
      <c r="K1331" s="8" t="str">
        <f t="shared" si="1"/>
        <v>CALL InsertOrUpdateAtributosProductos ('4603','789','5','LITROS','1 litro','1','0');</v>
      </c>
    </row>
    <row r="1332">
      <c r="A1332" s="2">
        <v>4604.0</v>
      </c>
      <c r="B1332" s="2">
        <v>789.0</v>
      </c>
      <c r="C1332" s="2">
        <v>5.0</v>
      </c>
      <c r="D1332" s="2" t="s">
        <v>540</v>
      </c>
      <c r="E1332" s="2" t="s">
        <v>2206</v>
      </c>
      <c r="H1332" s="2">
        <v>2.0</v>
      </c>
      <c r="I1332" s="2">
        <v>0.0</v>
      </c>
      <c r="K1332" s="8" t="str">
        <f t="shared" si="1"/>
        <v>CALL InsertOrUpdateAtributosProductos ('4604','789','5','LITROS','4 litros','2','0');</v>
      </c>
    </row>
    <row r="1333">
      <c r="A1333" s="2">
        <v>4605.0</v>
      </c>
      <c r="B1333" s="2">
        <v>789.0</v>
      </c>
      <c r="C1333" s="2">
        <v>5.0</v>
      </c>
      <c r="D1333" s="2" t="s">
        <v>540</v>
      </c>
      <c r="E1333" s="2" t="s">
        <v>2207</v>
      </c>
      <c r="H1333" s="2">
        <v>3.0</v>
      </c>
      <c r="I1333" s="2">
        <v>0.0</v>
      </c>
      <c r="K1333" s="8" t="str">
        <f t="shared" si="1"/>
        <v>CALL InsertOrUpdateAtributosProductos ('4605','789','5','LITROS','10 litros','3','0');</v>
      </c>
    </row>
    <row r="1334">
      <c r="A1334" s="2">
        <v>4606.0</v>
      </c>
      <c r="B1334" s="2">
        <v>790.0</v>
      </c>
      <c r="C1334" s="2">
        <v>6.0</v>
      </c>
      <c r="D1334" s="2" t="s">
        <v>559</v>
      </c>
      <c r="E1334" s="2" t="s">
        <v>2199</v>
      </c>
      <c r="H1334" s="2">
        <v>1.0</v>
      </c>
      <c r="I1334" s="2">
        <v>0.0</v>
      </c>
      <c r="K1334" s="8" t="str">
        <f t="shared" si="1"/>
        <v>CALL InsertOrUpdateAtributosProductos ('4606','790','6','MARCA','Sherwin Williams','1','0');</v>
      </c>
    </row>
    <row r="1335">
      <c r="A1335" s="2">
        <v>4607.0</v>
      </c>
      <c r="B1335" s="2">
        <v>790.0</v>
      </c>
      <c r="C1335" s="2">
        <v>6.0</v>
      </c>
      <c r="D1335" s="2" t="s">
        <v>559</v>
      </c>
      <c r="E1335" s="2" t="s">
        <v>2200</v>
      </c>
      <c r="H1335" s="2">
        <v>2.0</v>
      </c>
      <c r="I1335" s="2">
        <v>0.0</v>
      </c>
      <c r="K1335" s="8" t="str">
        <f t="shared" si="1"/>
        <v>CALL InsertOrUpdateAtributosProductos ('4607','790','6','MARCA','Alba','2','0');</v>
      </c>
    </row>
    <row r="1336">
      <c r="A1336" s="2">
        <v>4608.0</v>
      </c>
      <c r="B1336" s="2">
        <v>790.0</v>
      </c>
      <c r="C1336" s="2">
        <v>6.0</v>
      </c>
      <c r="D1336" s="2" t="s">
        <v>559</v>
      </c>
      <c r="E1336" s="2" t="s">
        <v>2201</v>
      </c>
      <c r="H1336" s="2">
        <v>3.0</v>
      </c>
      <c r="I1336" s="2">
        <v>0.0</v>
      </c>
      <c r="K1336" s="8" t="str">
        <f t="shared" si="1"/>
        <v>CALL InsertOrUpdateAtributosProductos ('4608','790','6','MARCA','Sinteplast','3','0');</v>
      </c>
    </row>
    <row r="1337">
      <c r="A1337" s="2">
        <v>4609.0</v>
      </c>
      <c r="B1337" s="2">
        <v>790.0</v>
      </c>
      <c r="C1337" s="2">
        <v>6.0</v>
      </c>
      <c r="D1337" s="2" t="s">
        <v>559</v>
      </c>
      <c r="E1337" s="2" t="s">
        <v>2203</v>
      </c>
      <c r="H1337" s="2">
        <v>4.0</v>
      </c>
      <c r="I1337" s="2">
        <v>0.0</v>
      </c>
      <c r="K1337" s="8" t="str">
        <f t="shared" si="1"/>
        <v>CALL InsertOrUpdateAtributosProductos ('4609','790','6','MARCA','Colorín','4','0');</v>
      </c>
    </row>
    <row r="1338">
      <c r="A1338" s="2">
        <v>4610.0</v>
      </c>
      <c r="B1338" s="2">
        <v>790.0</v>
      </c>
      <c r="C1338" s="2">
        <v>6.0</v>
      </c>
      <c r="D1338" s="2" t="s">
        <v>559</v>
      </c>
      <c r="E1338" s="2" t="s">
        <v>2204</v>
      </c>
      <c r="H1338" s="2">
        <v>5.0</v>
      </c>
      <c r="I1338" s="2">
        <v>0.0</v>
      </c>
      <c r="K1338" s="8" t="str">
        <f t="shared" si="1"/>
        <v>CALL InsertOrUpdateAtributosProductos ('4610','790','6','MARCA','Tersuave','5','0');</v>
      </c>
    </row>
    <row r="1339">
      <c r="A1339" s="2">
        <v>4611.0</v>
      </c>
      <c r="B1339" s="2">
        <v>790.0</v>
      </c>
      <c r="C1339" s="2">
        <v>6.0</v>
      </c>
      <c r="D1339" s="2" t="s">
        <v>559</v>
      </c>
      <c r="E1339" s="2" t="s">
        <v>2209</v>
      </c>
      <c r="H1339" s="2">
        <v>6.0</v>
      </c>
      <c r="I1339" s="2">
        <v>0.0</v>
      </c>
      <c r="K1339" s="8" t="str">
        <f t="shared" si="1"/>
        <v>CALL InsertOrUpdateAtributosProductos ('4611','790','6','MARCA','Otra','6','0');</v>
      </c>
    </row>
    <row r="1340">
      <c r="A1340" s="2">
        <v>4612.0</v>
      </c>
      <c r="B1340" s="2">
        <v>790.0</v>
      </c>
      <c r="C1340" s="2">
        <v>5.0</v>
      </c>
      <c r="D1340" s="2" t="s">
        <v>540</v>
      </c>
      <c r="E1340" s="2" t="s">
        <v>2205</v>
      </c>
      <c r="H1340" s="2">
        <v>1.0</v>
      </c>
      <c r="I1340" s="2">
        <v>0.0</v>
      </c>
      <c r="K1340" s="8" t="str">
        <f t="shared" si="1"/>
        <v>CALL InsertOrUpdateAtributosProductos ('4612','790','5','LITROS','1 litro','1','0');</v>
      </c>
    </row>
    <row r="1341">
      <c r="A1341" s="2">
        <v>4613.0</v>
      </c>
      <c r="B1341" s="2">
        <v>790.0</v>
      </c>
      <c r="C1341" s="2">
        <v>5.0</v>
      </c>
      <c r="D1341" s="2" t="s">
        <v>540</v>
      </c>
      <c r="E1341" s="2" t="s">
        <v>2206</v>
      </c>
      <c r="H1341" s="2">
        <v>2.0</v>
      </c>
      <c r="I1341" s="2">
        <v>0.0</v>
      </c>
      <c r="K1341" s="8" t="str">
        <f t="shared" si="1"/>
        <v>CALL InsertOrUpdateAtributosProductos ('4613','790','5','LITROS','4 litros','2','0');</v>
      </c>
    </row>
    <row r="1342">
      <c r="A1342" s="2">
        <v>4614.0</v>
      </c>
      <c r="B1342" s="2">
        <v>790.0</v>
      </c>
      <c r="C1342" s="2">
        <v>5.0</v>
      </c>
      <c r="D1342" s="2" t="s">
        <v>540</v>
      </c>
      <c r="E1342" s="2" t="s">
        <v>2207</v>
      </c>
      <c r="H1342" s="2">
        <v>3.0</v>
      </c>
      <c r="I1342" s="2">
        <v>0.0</v>
      </c>
      <c r="K1342" s="8" t="str">
        <f t="shared" si="1"/>
        <v>CALL InsertOrUpdateAtributosProductos ('4614','790','5','LITROS','10 litros','3','0');</v>
      </c>
    </row>
    <row r="1343">
      <c r="A1343" s="2">
        <v>4615.0</v>
      </c>
      <c r="B1343" s="2">
        <v>791.0</v>
      </c>
      <c r="C1343" s="2">
        <v>6.0</v>
      </c>
      <c r="D1343" s="2" t="s">
        <v>559</v>
      </c>
      <c r="E1343" s="2" t="s">
        <v>2199</v>
      </c>
      <c r="H1343" s="2">
        <v>1.0</v>
      </c>
      <c r="I1343" s="2">
        <v>0.0</v>
      </c>
      <c r="K1343" s="8" t="str">
        <f t="shared" si="1"/>
        <v>CALL InsertOrUpdateAtributosProductos ('4615','791','6','MARCA','Sherwin Williams','1','0');</v>
      </c>
    </row>
    <row r="1344">
      <c r="A1344" s="2">
        <v>4616.0</v>
      </c>
      <c r="B1344" s="2">
        <v>791.0</v>
      </c>
      <c r="C1344" s="2">
        <v>6.0</v>
      </c>
      <c r="D1344" s="2" t="s">
        <v>559</v>
      </c>
      <c r="E1344" s="2" t="s">
        <v>2200</v>
      </c>
      <c r="H1344" s="2">
        <v>2.0</v>
      </c>
      <c r="I1344" s="2">
        <v>0.0</v>
      </c>
      <c r="K1344" s="8" t="str">
        <f t="shared" si="1"/>
        <v>CALL InsertOrUpdateAtributosProductos ('4616','791','6','MARCA','Alba','2','0');</v>
      </c>
    </row>
    <row r="1345">
      <c r="A1345" s="2">
        <v>4617.0</v>
      </c>
      <c r="B1345" s="2">
        <v>791.0</v>
      </c>
      <c r="C1345" s="2">
        <v>6.0</v>
      </c>
      <c r="D1345" s="2" t="s">
        <v>559</v>
      </c>
      <c r="E1345" s="2" t="s">
        <v>2201</v>
      </c>
      <c r="H1345" s="2">
        <v>3.0</v>
      </c>
      <c r="I1345" s="2">
        <v>0.0</v>
      </c>
      <c r="K1345" s="8" t="str">
        <f t="shared" si="1"/>
        <v>CALL InsertOrUpdateAtributosProductos ('4617','791','6','MARCA','Sinteplast','3','0');</v>
      </c>
    </row>
    <row r="1346">
      <c r="A1346" s="2">
        <v>4618.0</v>
      </c>
      <c r="B1346" s="2">
        <v>791.0</v>
      </c>
      <c r="C1346" s="2">
        <v>6.0</v>
      </c>
      <c r="D1346" s="2" t="s">
        <v>559</v>
      </c>
      <c r="E1346" s="2" t="s">
        <v>2203</v>
      </c>
      <c r="H1346" s="2">
        <v>4.0</v>
      </c>
      <c r="I1346" s="2">
        <v>0.0</v>
      </c>
      <c r="K1346" s="8" t="str">
        <f t="shared" si="1"/>
        <v>CALL InsertOrUpdateAtributosProductos ('4618','791','6','MARCA','Colorín','4','0');</v>
      </c>
    </row>
    <row r="1347">
      <c r="A1347" s="2">
        <v>4619.0</v>
      </c>
      <c r="B1347" s="2">
        <v>791.0</v>
      </c>
      <c r="C1347" s="2">
        <v>6.0</v>
      </c>
      <c r="D1347" s="2" t="s">
        <v>559</v>
      </c>
      <c r="E1347" s="2" t="s">
        <v>2204</v>
      </c>
      <c r="H1347" s="2">
        <v>5.0</v>
      </c>
      <c r="I1347" s="2">
        <v>0.0</v>
      </c>
      <c r="K1347" s="8" t="str">
        <f t="shared" si="1"/>
        <v>CALL InsertOrUpdateAtributosProductos ('4619','791','6','MARCA','Tersuave','5','0');</v>
      </c>
    </row>
    <row r="1348">
      <c r="A1348" s="2">
        <v>4620.0</v>
      </c>
      <c r="B1348" s="2">
        <v>791.0</v>
      </c>
      <c r="C1348" s="2">
        <v>6.0</v>
      </c>
      <c r="D1348" s="2" t="s">
        <v>559</v>
      </c>
      <c r="E1348" s="2" t="s">
        <v>2209</v>
      </c>
      <c r="H1348" s="2">
        <v>6.0</v>
      </c>
      <c r="I1348" s="2">
        <v>0.0</v>
      </c>
      <c r="K1348" s="8" t="str">
        <f t="shared" si="1"/>
        <v>CALL InsertOrUpdateAtributosProductos ('4620','791','6','MARCA','Otra','6','0');</v>
      </c>
    </row>
    <row r="1349">
      <c r="A1349" s="2">
        <v>4621.0</v>
      </c>
      <c r="B1349" s="2">
        <v>791.0</v>
      </c>
      <c r="C1349" s="2">
        <v>5.0</v>
      </c>
      <c r="D1349" s="2" t="s">
        <v>540</v>
      </c>
      <c r="E1349" s="2" t="s">
        <v>2205</v>
      </c>
      <c r="H1349" s="2">
        <v>1.0</v>
      </c>
      <c r="I1349" s="2">
        <v>0.0</v>
      </c>
      <c r="K1349" s="8" t="str">
        <f t="shared" si="1"/>
        <v>CALL InsertOrUpdateAtributosProductos ('4621','791','5','LITROS','1 litro','1','0');</v>
      </c>
    </row>
    <row r="1350">
      <c r="A1350" s="2">
        <v>4622.0</v>
      </c>
      <c r="B1350" s="2">
        <v>791.0</v>
      </c>
      <c r="C1350" s="2">
        <v>5.0</v>
      </c>
      <c r="D1350" s="2" t="s">
        <v>540</v>
      </c>
      <c r="E1350" s="2" t="s">
        <v>2206</v>
      </c>
      <c r="H1350" s="2">
        <v>2.0</v>
      </c>
      <c r="I1350" s="2">
        <v>0.0</v>
      </c>
      <c r="K1350" s="8" t="str">
        <f t="shared" si="1"/>
        <v>CALL InsertOrUpdateAtributosProductos ('4622','791','5','LITROS','4 litros','2','0');</v>
      </c>
    </row>
    <row r="1351">
      <c r="A1351" s="2">
        <v>4623.0</v>
      </c>
      <c r="B1351" s="2">
        <v>791.0</v>
      </c>
      <c r="C1351" s="2">
        <v>5.0</v>
      </c>
      <c r="D1351" s="2" t="s">
        <v>540</v>
      </c>
      <c r="E1351" s="2" t="s">
        <v>2207</v>
      </c>
      <c r="H1351" s="2">
        <v>3.0</v>
      </c>
      <c r="I1351" s="2">
        <v>0.0</v>
      </c>
      <c r="K1351" s="8" t="str">
        <f t="shared" si="1"/>
        <v>CALL InsertOrUpdateAtributosProductos ('4623','791','5','LITROS','10 litros','3','0');</v>
      </c>
    </row>
    <row r="1352">
      <c r="A1352" s="2">
        <v>4624.0</v>
      </c>
      <c r="B1352" s="2">
        <v>792.0</v>
      </c>
      <c r="C1352" s="2">
        <v>5.0</v>
      </c>
      <c r="D1352" s="2" t="s">
        <v>540</v>
      </c>
      <c r="E1352" s="2" t="s">
        <v>2213</v>
      </c>
      <c r="H1352" s="2">
        <v>1.0</v>
      </c>
      <c r="I1352" s="2">
        <v>0.0</v>
      </c>
      <c r="K1352" s="8" t="str">
        <f t="shared" si="1"/>
        <v>CALL InsertOrUpdateAtributosProductos ('4624','792','5','LITROS','250 ml','1','0');</v>
      </c>
    </row>
    <row r="1353">
      <c r="A1353" s="2">
        <v>4625.0</v>
      </c>
      <c r="B1353" s="2">
        <v>792.0</v>
      </c>
      <c r="C1353" s="2">
        <v>5.0</v>
      </c>
      <c r="D1353" s="2" t="s">
        <v>540</v>
      </c>
      <c r="E1353" s="2" t="s">
        <v>2214</v>
      </c>
      <c r="H1353" s="2">
        <v>2.0</v>
      </c>
      <c r="I1353" s="2">
        <v>0.0</v>
      </c>
      <c r="K1353" s="8" t="str">
        <f t="shared" si="1"/>
        <v>CALL InsertOrUpdateAtributosProductos ('4625','792','5','LITROS','500 ml','2','0');</v>
      </c>
    </row>
    <row r="1354">
      <c r="A1354" s="2">
        <v>4626.0</v>
      </c>
      <c r="B1354" s="2">
        <v>792.0</v>
      </c>
      <c r="C1354" s="2">
        <v>5.0</v>
      </c>
      <c r="D1354" s="2" t="s">
        <v>540</v>
      </c>
      <c r="E1354" s="2" t="s">
        <v>2205</v>
      </c>
      <c r="H1354" s="2">
        <v>3.0</v>
      </c>
      <c r="I1354" s="2">
        <v>0.0</v>
      </c>
      <c r="K1354" s="8" t="str">
        <f t="shared" si="1"/>
        <v>CALL InsertOrUpdateAtributosProductos ('4626','792','5','LITROS','1 litro','3','0');</v>
      </c>
    </row>
    <row r="1355">
      <c r="A1355" s="2">
        <v>4627.0</v>
      </c>
      <c r="B1355" s="2">
        <v>792.0</v>
      </c>
      <c r="C1355" s="2">
        <v>5.0</v>
      </c>
      <c r="D1355" s="2" t="s">
        <v>540</v>
      </c>
      <c r="E1355" s="2" t="s">
        <v>2206</v>
      </c>
      <c r="H1355" s="2">
        <v>4.0</v>
      </c>
      <c r="I1355" s="2">
        <v>0.0</v>
      </c>
      <c r="K1355" s="8" t="str">
        <f t="shared" si="1"/>
        <v>CALL InsertOrUpdateAtributosProductos ('4627','792','5','LITROS','4 litros','4','0');</v>
      </c>
    </row>
    <row r="1356">
      <c r="A1356" s="2">
        <v>4628.0</v>
      </c>
      <c r="B1356" s="2">
        <v>792.0</v>
      </c>
      <c r="C1356" s="2">
        <v>5.0</v>
      </c>
      <c r="D1356" s="2" t="s">
        <v>540</v>
      </c>
      <c r="E1356" s="2" t="s">
        <v>2208</v>
      </c>
      <c r="H1356" s="2">
        <v>5.0</v>
      </c>
      <c r="I1356" s="2">
        <v>0.0</v>
      </c>
      <c r="K1356" s="8" t="str">
        <f t="shared" si="1"/>
        <v>CALL InsertOrUpdateAtributosProductos ('4628','792','5','LITROS','20 litros','5','0');</v>
      </c>
    </row>
    <row r="1357">
      <c r="A1357" s="2">
        <v>4629.0</v>
      </c>
      <c r="B1357" s="2">
        <v>792.0</v>
      </c>
      <c r="C1357" s="2">
        <v>8.0</v>
      </c>
      <c r="D1357" s="2" t="s">
        <v>581</v>
      </c>
      <c r="E1357" s="2" t="s">
        <v>2221</v>
      </c>
      <c r="H1357" s="2">
        <v>1.0</v>
      </c>
      <c r="I1357" s="2">
        <v>0.0</v>
      </c>
      <c r="K1357" s="8" t="str">
        <f t="shared" si="1"/>
        <v>CALL InsertOrUpdateAtributosProductos ('4629','792','8','COLOR','Negro','1','0');</v>
      </c>
    </row>
    <row r="1358">
      <c r="A1358" s="2">
        <v>4630.0</v>
      </c>
      <c r="B1358" s="2">
        <v>792.0</v>
      </c>
      <c r="C1358" s="2">
        <v>8.0</v>
      </c>
      <c r="D1358" s="2" t="s">
        <v>581</v>
      </c>
      <c r="E1358" s="2" t="s">
        <v>2223</v>
      </c>
      <c r="H1358" s="2">
        <v>2.0</v>
      </c>
      <c r="I1358" s="2">
        <v>0.0</v>
      </c>
      <c r="K1358" s="8" t="str">
        <f t="shared" si="1"/>
        <v>CALL InsertOrUpdateAtributosProductos ('4630','792','8','COLOR','Blanco','2','0');</v>
      </c>
    </row>
    <row r="1359">
      <c r="A1359" s="2">
        <v>4631.0</v>
      </c>
      <c r="B1359" s="2">
        <v>792.0</v>
      </c>
      <c r="C1359" s="2">
        <v>8.0</v>
      </c>
      <c r="D1359" s="2" t="s">
        <v>581</v>
      </c>
      <c r="E1359" s="2" t="s">
        <v>2768</v>
      </c>
      <c r="H1359" s="2">
        <v>3.0</v>
      </c>
      <c r="I1359" s="2">
        <v>0.0</v>
      </c>
      <c r="K1359" s="8" t="str">
        <f t="shared" si="1"/>
        <v>CALL InsertOrUpdateAtributosProductos ('4631','792','8','COLOR','Ocre','3','0');</v>
      </c>
    </row>
    <row r="1360">
      <c r="A1360" s="2">
        <v>4632.0</v>
      </c>
      <c r="B1360" s="2">
        <v>792.0</v>
      </c>
      <c r="C1360" s="2">
        <v>8.0</v>
      </c>
      <c r="D1360" s="2" t="s">
        <v>581</v>
      </c>
      <c r="E1360" s="2" t="s">
        <v>2769</v>
      </c>
      <c r="H1360" s="2">
        <v>4.0</v>
      </c>
      <c r="I1360" s="2">
        <v>0.0</v>
      </c>
      <c r="K1360" s="8" t="str">
        <f t="shared" si="1"/>
        <v>CALL InsertOrUpdateAtributosProductos ('4632','792','8','COLOR','Plata','4','0');</v>
      </c>
    </row>
    <row r="1361">
      <c r="A1361" s="2">
        <v>4633.0</v>
      </c>
      <c r="B1361" s="2">
        <v>792.0</v>
      </c>
      <c r="C1361" s="2">
        <v>8.0</v>
      </c>
      <c r="D1361" s="2" t="s">
        <v>581</v>
      </c>
      <c r="E1361" s="2" t="s">
        <v>2229</v>
      </c>
      <c r="H1361" s="2">
        <v>5.0</v>
      </c>
      <c r="I1361" s="2">
        <v>0.0</v>
      </c>
      <c r="K1361" s="8" t="str">
        <f t="shared" si="1"/>
        <v>CALL InsertOrUpdateAtributosProductos ('4633','792','8','COLOR','Marfil','5','0');</v>
      </c>
    </row>
    <row r="1362">
      <c r="A1362" s="2">
        <v>4634.0</v>
      </c>
      <c r="B1362" s="2">
        <v>792.0</v>
      </c>
      <c r="C1362" s="2">
        <v>8.0</v>
      </c>
      <c r="D1362" s="2" t="s">
        <v>581</v>
      </c>
      <c r="E1362" s="2" t="s">
        <v>2770</v>
      </c>
      <c r="H1362" s="2">
        <v>6.0</v>
      </c>
      <c r="I1362" s="2">
        <v>0.0</v>
      </c>
      <c r="K1362" s="8" t="str">
        <f t="shared" si="1"/>
        <v>CALL InsertOrUpdateAtributosProductos ('4634','792','8','COLOR','Verde Cemento','6','0');</v>
      </c>
    </row>
    <row r="1363">
      <c r="A1363" s="2">
        <v>4635.0</v>
      </c>
      <c r="B1363" s="2">
        <v>792.0</v>
      </c>
      <c r="C1363" s="2">
        <v>8.0</v>
      </c>
      <c r="D1363" s="2" t="s">
        <v>581</v>
      </c>
      <c r="E1363" s="2" t="s">
        <v>2222</v>
      </c>
      <c r="H1363" s="2">
        <v>7.0</v>
      </c>
      <c r="I1363" s="2">
        <v>0.0</v>
      </c>
      <c r="K1363" s="8" t="str">
        <f t="shared" si="1"/>
        <v>CALL InsertOrUpdateAtributosProductos ('4635','792','8','COLOR','Amarillo','7','0');</v>
      </c>
    </row>
    <row r="1364">
      <c r="A1364" s="2">
        <v>4636.0</v>
      </c>
      <c r="B1364" s="2">
        <v>792.0</v>
      </c>
      <c r="C1364" s="2">
        <v>8.0</v>
      </c>
      <c r="D1364" s="2" t="s">
        <v>581</v>
      </c>
      <c r="E1364" s="2" t="s">
        <v>2224</v>
      </c>
      <c r="H1364" s="2">
        <v>8.0</v>
      </c>
      <c r="I1364" s="2">
        <v>0.0</v>
      </c>
      <c r="K1364" s="8" t="str">
        <f t="shared" si="1"/>
        <v>CALL InsertOrUpdateAtributosProductos ('4636','792','8','COLOR','Gris','8','0');</v>
      </c>
    </row>
    <row r="1365">
      <c r="A1365" s="2">
        <v>4637.0</v>
      </c>
      <c r="B1365" s="2">
        <v>792.0</v>
      </c>
      <c r="C1365" s="2">
        <v>8.0</v>
      </c>
      <c r="D1365" s="2" t="s">
        <v>581</v>
      </c>
      <c r="E1365" s="2" t="s">
        <v>2771</v>
      </c>
      <c r="H1365" s="2">
        <v>9.0</v>
      </c>
      <c r="I1365" s="2">
        <v>0.0</v>
      </c>
      <c r="K1365" s="8" t="str">
        <f t="shared" si="1"/>
        <v>CALL InsertOrUpdateAtributosProductos ('4637','792','8','COLOR','Crema','9','0');</v>
      </c>
    </row>
    <row r="1366">
      <c r="A1366" s="2">
        <v>4638.0</v>
      </c>
      <c r="B1366" s="2">
        <v>792.0</v>
      </c>
      <c r="C1366" s="2">
        <v>8.0</v>
      </c>
      <c r="D1366" s="2" t="s">
        <v>581</v>
      </c>
      <c r="E1366" s="2" t="s">
        <v>2508</v>
      </c>
      <c r="H1366" s="2">
        <v>10.0</v>
      </c>
      <c r="I1366" s="2">
        <v>0.0</v>
      </c>
      <c r="K1366" s="8" t="str">
        <f t="shared" si="1"/>
        <v>CALL InsertOrUpdateAtributosProductos ('4638','792','8','COLOR','Beige','10','0');</v>
      </c>
    </row>
    <row r="1367">
      <c r="A1367" s="2">
        <v>4639.0</v>
      </c>
      <c r="B1367" s="2">
        <v>792.0</v>
      </c>
      <c r="C1367" s="2">
        <v>8.0</v>
      </c>
      <c r="D1367" s="2" t="s">
        <v>581</v>
      </c>
      <c r="E1367" s="2" t="s">
        <v>2226</v>
      </c>
      <c r="H1367" s="2">
        <v>11.0</v>
      </c>
      <c r="I1367" s="2">
        <v>0.0</v>
      </c>
      <c r="K1367" s="8" t="str">
        <f t="shared" si="1"/>
        <v>CALL InsertOrUpdateAtributosProductos ('4639','792','8','COLOR','Naranja','11','0');</v>
      </c>
    </row>
    <row r="1368">
      <c r="A1368" s="2">
        <v>4640.0</v>
      </c>
      <c r="B1368" s="2">
        <v>792.0</v>
      </c>
      <c r="C1368" s="2">
        <v>8.0</v>
      </c>
      <c r="D1368" s="2" t="s">
        <v>581</v>
      </c>
      <c r="E1368" s="2" t="s">
        <v>2222</v>
      </c>
      <c r="H1368" s="2">
        <v>12.0</v>
      </c>
      <c r="I1368" s="2">
        <v>0.0</v>
      </c>
      <c r="K1368" s="8" t="str">
        <f t="shared" si="1"/>
        <v>CALL InsertOrUpdateAtributosProductos ('4640','792','8','COLOR','Amarillo','12','0');</v>
      </c>
    </row>
    <row r="1369">
      <c r="A1369" s="2">
        <v>4641.0</v>
      </c>
      <c r="B1369" s="2">
        <v>792.0</v>
      </c>
      <c r="C1369" s="2">
        <v>8.0</v>
      </c>
      <c r="D1369" s="2" t="s">
        <v>581</v>
      </c>
      <c r="E1369" s="2" t="s">
        <v>2762</v>
      </c>
      <c r="H1369" s="2">
        <v>13.0</v>
      </c>
      <c r="I1369" s="2">
        <v>0.0</v>
      </c>
      <c r="K1369" s="8" t="str">
        <f t="shared" si="1"/>
        <v>CALL InsertOrUpdateAtributosProductos ('4641','792','8','COLOR','Azul','13','0');</v>
      </c>
    </row>
    <row r="1370">
      <c r="A1370" s="2">
        <v>4642.0</v>
      </c>
      <c r="B1370" s="2">
        <v>792.0</v>
      </c>
      <c r="C1370" s="2">
        <v>8.0</v>
      </c>
      <c r="D1370" s="2" t="s">
        <v>581</v>
      </c>
      <c r="E1370" s="2" t="s">
        <v>2398</v>
      </c>
      <c r="H1370" s="2">
        <v>14.0</v>
      </c>
      <c r="I1370" s="2">
        <v>0.0</v>
      </c>
      <c r="K1370" s="8" t="str">
        <f t="shared" si="1"/>
        <v>CALL InsertOrUpdateAtributosProductos ('4642','792','8','COLOR','Verde','14','0');</v>
      </c>
    </row>
    <row r="1371">
      <c r="A1371" s="2">
        <v>4643.0</v>
      </c>
      <c r="B1371" s="2">
        <v>792.0</v>
      </c>
      <c r="C1371" s="2">
        <v>8.0</v>
      </c>
      <c r="D1371" s="2" t="s">
        <v>581</v>
      </c>
      <c r="E1371" s="2" t="s">
        <v>2228</v>
      </c>
      <c r="H1371" s="2">
        <v>15.0</v>
      </c>
      <c r="I1371" s="2">
        <v>0.0</v>
      </c>
      <c r="K1371" s="8" t="str">
        <f t="shared" si="1"/>
        <v>CALL InsertOrUpdateAtributosProductos ('4643','792','8','COLOR','Bermellón','15','0');</v>
      </c>
    </row>
    <row r="1372">
      <c r="A1372" s="2">
        <v>4644.0</v>
      </c>
      <c r="B1372" s="2">
        <v>793.0</v>
      </c>
      <c r="C1372" s="2">
        <v>5.0</v>
      </c>
      <c r="D1372" s="2" t="s">
        <v>540</v>
      </c>
      <c r="E1372" s="2" t="s">
        <v>2213</v>
      </c>
      <c r="H1372" s="2">
        <v>1.0</v>
      </c>
      <c r="I1372" s="2">
        <v>0.0</v>
      </c>
      <c r="K1372" s="8" t="str">
        <f t="shared" si="1"/>
        <v>CALL InsertOrUpdateAtributosProductos ('4644','793','5','LITROS','250 ml','1','0');</v>
      </c>
    </row>
    <row r="1373">
      <c r="A1373" s="2">
        <v>4645.0</v>
      </c>
      <c r="B1373" s="2">
        <v>793.0</v>
      </c>
      <c r="C1373" s="2">
        <v>5.0</v>
      </c>
      <c r="D1373" s="2" t="s">
        <v>540</v>
      </c>
      <c r="E1373" s="2" t="s">
        <v>2214</v>
      </c>
      <c r="H1373" s="2">
        <v>2.0</v>
      </c>
      <c r="I1373" s="2">
        <v>0.0</v>
      </c>
      <c r="K1373" s="8" t="str">
        <f t="shared" si="1"/>
        <v>CALL InsertOrUpdateAtributosProductos ('4645','793','5','LITROS','500 ml','2','0');</v>
      </c>
    </row>
    <row r="1374">
      <c r="A1374" s="2">
        <v>4646.0</v>
      </c>
      <c r="B1374" s="2">
        <v>793.0</v>
      </c>
      <c r="C1374" s="2">
        <v>5.0</v>
      </c>
      <c r="D1374" s="2" t="s">
        <v>540</v>
      </c>
      <c r="E1374" s="2" t="s">
        <v>2205</v>
      </c>
      <c r="H1374" s="2">
        <v>3.0</v>
      </c>
      <c r="I1374" s="2">
        <v>0.0</v>
      </c>
      <c r="K1374" s="8" t="str">
        <f t="shared" si="1"/>
        <v>CALL InsertOrUpdateAtributosProductos ('4646','793','5','LITROS','1 litro','3','0');</v>
      </c>
    </row>
    <row r="1375">
      <c r="A1375" s="2">
        <v>4647.0</v>
      </c>
      <c r="B1375" s="2">
        <v>793.0</v>
      </c>
      <c r="C1375" s="2">
        <v>5.0</v>
      </c>
      <c r="D1375" s="2" t="s">
        <v>540</v>
      </c>
      <c r="E1375" s="2" t="s">
        <v>2206</v>
      </c>
      <c r="H1375" s="2">
        <v>4.0</v>
      </c>
      <c r="I1375" s="2">
        <v>0.0</v>
      </c>
      <c r="K1375" s="8" t="str">
        <f t="shared" si="1"/>
        <v>CALL InsertOrUpdateAtributosProductos ('4647','793','5','LITROS','4 litros','4','0');</v>
      </c>
    </row>
    <row r="1376">
      <c r="A1376" s="2">
        <v>4648.0</v>
      </c>
      <c r="B1376" s="2">
        <v>793.0</v>
      </c>
      <c r="C1376" s="2">
        <v>8.0</v>
      </c>
      <c r="D1376" s="2" t="s">
        <v>581</v>
      </c>
      <c r="E1376" s="2" t="s">
        <v>2221</v>
      </c>
      <c r="H1376" s="2">
        <v>1.0</v>
      </c>
      <c r="I1376" s="2">
        <v>0.0</v>
      </c>
      <c r="K1376" s="8" t="str">
        <f t="shared" si="1"/>
        <v>CALL InsertOrUpdateAtributosProductos ('4648','793','8','COLOR','Negro','1','0');</v>
      </c>
    </row>
    <row r="1377">
      <c r="A1377" s="2">
        <v>4649.0</v>
      </c>
      <c r="B1377" s="2">
        <v>793.0</v>
      </c>
      <c r="C1377" s="2">
        <v>8.0</v>
      </c>
      <c r="D1377" s="2" t="s">
        <v>581</v>
      </c>
      <c r="E1377" s="2" t="s">
        <v>2222</v>
      </c>
      <c r="H1377" s="2">
        <v>2.0</v>
      </c>
      <c r="I1377" s="2">
        <v>0.0</v>
      </c>
      <c r="K1377" s="8" t="str">
        <f t="shared" si="1"/>
        <v>CALL InsertOrUpdateAtributosProductos ('4649','793','8','COLOR','Amarillo','2','0');</v>
      </c>
    </row>
    <row r="1378">
      <c r="A1378" s="2">
        <v>4650.0</v>
      </c>
      <c r="B1378" s="2">
        <v>793.0</v>
      </c>
      <c r="C1378" s="2">
        <v>8.0</v>
      </c>
      <c r="D1378" s="2" t="s">
        <v>581</v>
      </c>
      <c r="E1378" s="2" t="s">
        <v>2223</v>
      </c>
      <c r="H1378" s="2">
        <v>3.0</v>
      </c>
      <c r="I1378" s="2">
        <v>0.0</v>
      </c>
      <c r="K1378" s="8" t="str">
        <f t="shared" si="1"/>
        <v>CALL InsertOrUpdateAtributosProductos ('4650','793','8','COLOR','Blanco','3','0');</v>
      </c>
    </row>
    <row r="1379">
      <c r="A1379" s="2">
        <v>4651.0</v>
      </c>
      <c r="B1379" s="2">
        <v>793.0</v>
      </c>
      <c r="C1379" s="2">
        <v>8.0</v>
      </c>
      <c r="D1379" s="2" t="s">
        <v>581</v>
      </c>
      <c r="E1379" s="2" t="s">
        <v>2224</v>
      </c>
      <c r="H1379" s="2">
        <v>4.0</v>
      </c>
      <c r="I1379" s="2">
        <v>0.0</v>
      </c>
      <c r="K1379" s="8" t="str">
        <f t="shared" si="1"/>
        <v>CALL InsertOrUpdateAtributosProductos ('4651','793','8','COLOR','Gris','4','0');</v>
      </c>
    </row>
    <row r="1380">
      <c r="A1380" s="2">
        <v>4652.0</v>
      </c>
      <c r="B1380" s="2">
        <v>793.0</v>
      </c>
      <c r="C1380" s="2">
        <v>8.0</v>
      </c>
      <c r="D1380" s="2" t="s">
        <v>581</v>
      </c>
      <c r="E1380" s="2" t="s">
        <v>2225</v>
      </c>
      <c r="H1380" s="2">
        <v>5.0</v>
      </c>
      <c r="I1380" s="2">
        <v>0.0</v>
      </c>
      <c r="K1380" s="8" t="str">
        <f t="shared" si="1"/>
        <v>CALL InsertOrUpdateAtributosProductos ('4652','793','8','COLOR','Marrón','5','0');</v>
      </c>
    </row>
    <row r="1381">
      <c r="A1381" s="2">
        <v>4653.0</v>
      </c>
      <c r="B1381" s="2">
        <v>793.0</v>
      </c>
      <c r="C1381" s="2">
        <v>8.0</v>
      </c>
      <c r="D1381" s="2" t="s">
        <v>581</v>
      </c>
      <c r="E1381" s="2" t="s">
        <v>2226</v>
      </c>
      <c r="H1381" s="2">
        <v>6.0</v>
      </c>
      <c r="I1381" s="2">
        <v>0.0</v>
      </c>
      <c r="K1381" s="8" t="str">
        <f t="shared" si="1"/>
        <v>CALL InsertOrUpdateAtributosProductos ('4653','793','8','COLOR','Naranja','6','0');</v>
      </c>
    </row>
    <row r="1382">
      <c r="A1382" s="2">
        <v>4654.0</v>
      </c>
      <c r="B1382" s="2">
        <v>793.0</v>
      </c>
      <c r="C1382" s="2">
        <v>8.0</v>
      </c>
      <c r="D1382" s="2" t="s">
        <v>581</v>
      </c>
      <c r="E1382" s="2" t="s">
        <v>2227</v>
      </c>
      <c r="H1382" s="2">
        <v>7.0</v>
      </c>
      <c r="I1382" s="2">
        <v>0.0</v>
      </c>
      <c r="K1382" s="8" t="str">
        <f t="shared" si="1"/>
        <v>CALL InsertOrUpdateAtributosProductos ('4654','793','8','COLOR','Azul Marino','7','0');</v>
      </c>
    </row>
    <row r="1383">
      <c r="A1383" s="2">
        <v>4655.0</v>
      </c>
      <c r="B1383" s="2">
        <v>793.0</v>
      </c>
      <c r="C1383" s="2">
        <v>8.0</v>
      </c>
      <c r="D1383" s="2" t="s">
        <v>581</v>
      </c>
      <c r="E1383" s="2" t="s">
        <v>2228</v>
      </c>
      <c r="H1383" s="2">
        <v>8.0</v>
      </c>
      <c r="I1383" s="2">
        <v>0.0</v>
      </c>
      <c r="K1383" s="8" t="str">
        <f t="shared" si="1"/>
        <v>CALL InsertOrUpdateAtributosProductos ('4655','793','8','COLOR','Bermellón','8','0');</v>
      </c>
    </row>
    <row r="1384">
      <c r="A1384" s="2">
        <v>4656.0</v>
      </c>
      <c r="B1384" s="2">
        <v>793.0</v>
      </c>
      <c r="C1384" s="2">
        <v>8.0</v>
      </c>
      <c r="D1384" s="2" t="s">
        <v>581</v>
      </c>
      <c r="E1384" s="2" t="s">
        <v>2229</v>
      </c>
      <c r="H1384" s="2">
        <v>9.0</v>
      </c>
      <c r="I1384" s="2">
        <v>0.0</v>
      </c>
      <c r="K1384" s="8" t="str">
        <f t="shared" si="1"/>
        <v>CALL InsertOrUpdateAtributosProductos ('4656','793','8','COLOR','Marfil','9','0');</v>
      </c>
    </row>
    <row r="1385">
      <c r="A1385" s="2">
        <v>4657.0</v>
      </c>
      <c r="B1385" s="2">
        <v>793.0</v>
      </c>
      <c r="C1385" s="2">
        <v>8.0</v>
      </c>
      <c r="D1385" s="2" t="s">
        <v>581</v>
      </c>
      <c r="E1385" s="2" t="s">
        <v>2230</v>
      </c>
      <c r="H1385" s="2">
        <v>10.0</v>
      </c>
      <c r="I1385" s="2">
        <v>0.0</v>
      </c>
      <c r="K1385" s="8" t="str">
        <f t="shared" si="1"/>
        <v>CALL InsertOrUpdateAtributosProductos ('4657','793','8','COLOR','Verde inglés','10','0');</v>
      </c>
    </row>
    <row r="1386">
      <c r="A1386" s="2">
        <v>4658.0</v>
      </c>
      <c r="B1386" s="2">
        <v>794.0</v>
      </c>
      <c r="C1386" s="2">
        <v>5.0</v>
      </c>
      <c r="D1386" s="2" t="s">
        <v>540</v>
      </c>
      <c r="E1386" s="2" t="s">
        <v>2213</v>
      </c>
      <c r="H1386" s="2">
        <v>1.0</v>
      </c>
      <c r="I1386" s="2">
        <v>0.0</v>
      </c>
      <c r="K1386" s="8" t="str">
        <f t="shared" si="1"/>
        <v>CALL InsertOrUpdateAtributosProductos ('4658','794','5','LITROS','250 ml','1','0');</v>
      </c>
    </row>
    <row r="1387">
      <c r="A1387" s="2">
        <v>4659.0</v>
      </c>
      <c r="B1387" s="2">
        <v>794.0</v>
      </c>
      <c r="C1387" s="2">
        <v>5.0</v>
      </c>
      <c r="D1387" s="2" t="s">
        <v>540</v>
      </c>
      <c r="E1387" s="2" t="s">
        <v>2214</v>
      </c>
      <c r="H1387" s="2">
        <v>2.0</v>
      </c>
      <c r="I1387" s="2">
        <v>0.0</v>
      </c>
      <c r="K1387" s="8" t="str">
        <f t="shared" si="1"/>
        <v>CALL InsertOrUpdateAtributosProductos ('4659','794','5','LITROS','500 ml','2','0');</v>
      </c>
    </row>
    <row r="1388">
      <c r="A1388" s="2">
        <v>4660.0</v>
      </c>
      <c r="B1388" s="2">
        <v>794.0</v>
      </c>
      <c r="C1388" s="2">
        <v>5.0</v>
      </c>
      <c r="D1388" s="2" t="s">
        <v>540</v>
      </c>
      <c r="E1388" s="2" t="s">
        <v>2205</v>
      </c>
      <c r="H1388" s="2">
        <v>3.0</v>
      </c>
      <c r="I1388" s="2">
        <v>0.0</v>
      </c>
      <c r="K1388" s="8" t="str">
        <f t="shared" si="1"/>
        <v>CALL InsertOrUpdateAtributosProductos ('4660','794','5','LITROS','1 litro','3','0');</v>
      </c>
    </row>
    <row r="1389">
      <c r="A1389" s="2">
        <v>4661.0</v>
      </c>
      <c r="B1389" s="2">
        <v>794.0</v>
      </c>
      <c r="C1389" s="2">
        <v>5.0</v>
      </c>
      <c r="D1389" s="2" t="s">
        <v>540</v>
      </c>
      <c r="E1389" s="2" t="s">
        <v>2206</v>
      </c>
      <c r="H1389" s="2">
        <v>4.0</v>
      </c>
      <c r="I1389" s="2">
        <v>0.0</v>
      </c>
      <c r="K1389" s="8" t="str">
        <f t="shared" si="1"/>
        <v>CALL InsertOrUpdateAtributosProductos ('4661','794','5','LITROS','4 litros','4','0');</v>
      </c>
    </row>
    <row r="1390">
      <c r="A1390" s="2">
        <v>4662.0</v>
      </c>
      <c r="B1390" s="2">
        <v>794.0</v>
      </c>
      <c r="C1390" s="2">
        <v>8.0</v>
      </c>
      <c r="D1390" s="2" t="s">
        <v>581</v>
      </c>
      <c r="E1390" s="2" t="s">
        <v>2221</v>
      </c>
      <c r="H1390" s="2">
        <v>1.0</v>
      </c>
      <c r="I1390" s="2">
        <v>0.0</v>
      </c>
      <c r="K1390" s="8" t="str">
        <f t="shared" si="1"/>
        <v>CALL InsertOrUpdateAtributosProductos ('4662','794','8','COLOR','Negro','1','0');</v>
      </c>
    </row>
    <row r="1391">
      <c r="A1391" s="2">
        <v>4663.0</v>
      </c>
      <c r="B1391" s="2">
        <v>794.0</v>
      </c>
      <c r="C1391" s="2">
        <v>8.0</v>
      </c>
      <c r="D1391" s="2" t="s">
        <v>581</v>
      </c>
      <c r="E1391" s="2" t="s">
        <v>2222</v>
      </c>
      <c r="H1391" s="2">
        <v>2.0</v>
      </c>
      <c r="I1391" s="2">
        <v>0.0</v>
      </c>
      <c r="K1391" s="8" t="str">
        <f t="shared" si="1"/>
        <v>CALL InsertOrUpdateAtributosProductos ('4663','794','8','COLOR','Amarillo','2','0');</v>
      </c>
    </row>
    <row r="1392">
      <c r="A1392" s="2">
        <v>4664.0</v>
      </c>
      <c r="B1392" s="2">
        <v>794.0</v>
      </c>
      <c r="C1392" s="2">
        <v>8.0</v>
      </c>
      <c r="D1392" s="2" t="s">
        <v>581</v>
      </c>
      <c r="E1392" s="2" t="s">
        <v>2223</v>
      </c>
      <c r="H1392" s="2">
        <v>3.0</v>
      </c>
      <c r="I1392" s="2">
        <v>0.0</v>
      </c>
      <c r="K1392" s="8" t="str">
        <f t="shared" si="1"/>
        <v>CALL InsertOrUpdateAtributosProductos ('4664','794','8','COLOR','Blanco','3','0');</v>
      </c>
    </row>
    <row r="1393">
      <c r="A1393" s="2">
        <v>4665.0</v>
      </c>
      <c r="B1393" s="2">
        <v>794.0</v>
      </c>
      <c r="C1393" s="2">
        <v>8.0</v>
      </c>
      <c r="D1393" s="2" t="s">
        <v>581</v>
      </c>
      <c r="E1393" s="2" t="s">
        <v>2224</v>
      </c>
      <c r="H1393" s="2">
        <v>4.0</v>
      </c>
      <c r="I1393" s="2">
        <v>0.0</v>
      </c>
      <c r="K1393" s="8" t="str">
        <f t="shared" si="1"/>
        <v>CALL InsertOrUpdateAtributosProductos ('4665','794','8','COLOR','Gris','4','0');</v>
      </c>
    </row>
    <row r="1394">
      <c r="A1394" s="2">
        <v>4666.0</v>
      </c>
      <c r="B1394" s="2">
        <v>794.0</v>
      </c>
      <c r="C1394" s="2">
        <v>8.0</v>
      </c>
      <c r="D1394" s="2" t="s">
        <v>581</v>
      </c>
      <c r="E1394" s="2" t="s">
        <v>2225</v>
      </c>
      <c r="H1394" s="2">
        <v>5.0</v>
      </c>
      <c r="I1394" s="2">
        <v>0.0</v>
      </c>
      <c r="K1394" s="8" t="str">
        <f t="shared" si="1"/>
        <v>CALL InsertOrUpdateAtributosProductos ('4666','794','8','COLOR','Marrón','5','0');</v>
      </c>
    </row>
    <row r="1395">
      <c r="A1395" s="2">
        <v>4667.0</v>
      </c>
      <c r="B1395" s="2">
        <v>794.0</v>
      </c>
      <c r="C1395" s="2">
        <v>8.0</v>
      </c>
      <c r="D1395" s="2" t="s">
        <v>581</v>
      </c>
      <c r="E1395" s="2" t="s">
        <v>2226</v>
      </c>
      <c r="H1395" s="2">
        <v>6.0</v>
      </c>
      <c r="I1395" s="2">
        <v>0.0</v>
      </c>
      <c r="K1395" s="8" t="str">
        <f t="shared" si="1"/>
        <v>CALL InsertOrUpdateAtributosProductos ('4667','794','8','COLOR','Naranja','6','0');</v>
      </c>
    </row>
    <row r="1396">
      <c r="A1396" s="2">
        <v>4668.0</v>
      </c>
      <c r="B1396" s="2">
        <v>794.0</v>
      </c>
      <c r="C1396" s="2">
        <v>8.0</v>
      </c>
      <c r="D1396" s="2" t="s">
        <v>581</v>
      </c>
      <c r="E1396" s="2" t="s">
        <v>2227</v>
      </c>
      <c r="H1396" s="2">
        <v>7.0</v>
      </c>
      <c r="I1396" s="2">
        <v>0.0</v>
      </c>
      <c r="K1396" s="8" t="str">
        <f t="shared" si="1"/>
        <v>CALL InsertOrUpdateAtributosProductos ('4668','794','8','COLOR','Azul Marino','7','0');</v>
      </c>
    </row>
    <row r="1397">
      <c r="A1397" s="2">
        <v>4669.0</v>
      </c>
      <c r="B1397" s="2">
        <v>794.0</v>
      </c>
      <c r="C1397" s="2">
        <v>8.0</v>
      </c>
      <c r="D1397" s="2" t="s">
        <v>581</v>
      </c>
      <c r="E1397" s="2" t="s">
        <v>2228</v>
      </c>
      <c r="H1397" s="2">
        <v>8.0</v>
      </c>
      <c r="I1397" s="2">
        <v>0.0</v>
      </c>
      <c r="K1397" s="8" t="str">
        <f t="shared" si="1"/>
        <v>CALL InsertOrUpdateAtributosProductos ('4669','794','8','COLOR','Bermellón','8','0');</v>
      </c>
    </row>
    <row r="1398">
      <c r="A1398" s="2">
        <v>4670.0</v>
      </c>
      <c r="B1398" s="2">
        <v>794.0</v>
      </c>
      <c r="C1398" s="2">
        <v>8.0</v>
      </c>
      <c r="D1398" s="2" t="s">
        <v>581</v>
      </c>
      <c r="E1398" s="2" t="s">
        <v>2229</v>
      </c>
      <c r="H1398" s="2">
        <v>9.0</v>
      </c>
      <c r="I1398" s="2">
        <v>0.0</v>
      </c>
      <c r="K1398" s="8" t="str">
        <f t="shared" si="1"/>
        <v>CALL InsertOrUpdateAtributosProductos ('4670','794','8','COLOR','Marfil','9','0');</v>
      </c>
    </row>
    <row r="1399">
      <c r="A1399" s="2">
        <v>4671.0</v>
      </c>
      <c r="B1399" s="2">
        <v>794.0</v>
      </c>
      <c r="C1399" s="2">
        <v>8.0</v>
      </c>
      <c r="D1399" s="2" t="s">
        <v>581</v>
      </c>
      <c r="E1399" s="2" t="s">
        <v>2230</v>
      </c>
      <c r="H1399" s="2">
        <v>10.0</v>
      </c>
      <c r="I1399" s="2">
        <v>0.0</v>
      </c>
      <c r="K1399" s="8" t="str">
        <f t="shared" si="1"/>
        <v>CALL InsertOrUpdateAtributosProductos ('4671','794','8','COLOR','Verde inglés','10','0');</v>
      </c>
    </row>
    <row r="1400">
      <c r="A1400" s="2">
        <v>4672.0</v>
      </c>
      <c r="B1400" s="2">
        <v>795.0</v>
      </c>
      <c r="C1400" s="2">
        <v>5.0</v>
      </c>
      <c r="D1400" s="2" t="s">
        <v>540</v>
      </c>
      <c r="E1400" s="2" t="s">
        <v>2213</v>
      </c>
      <c r="H1400" s="2">
        <v>1.0</v>
      </c>
      <c r="I1400" s="2">
        <v>0.0</v>
      </c>
      <c r="K1400" s="8" t="str">
        <f t="shared" si="1"/>
        <v>CALL InsertOrUpdateAtributosProductos ('4672','795','5','LITROS','250 ml','1','0');</v>
      </c>
    </row>
    <row r="1401">
      <c r="A1401" s="2">
        <v>4673.0</v>
      </c>
      <c r="B1401" s="2">
        <v>795.0</v>
      </c>
      <c r="C1401" s="2">
        <v>5.0</v>
      </c>
      <c r="D1401" s="2" t="s">
        <v>540</v>
      </c>
      <c r="E1401" s="2" t="s">
        <v>2214</v>
      </c>
      <c r="H1401" s="2">
        <v>2.0</v>
      </c>
      <c r="I1401" s="2">
        <v>0.0</v>
      </c>
      <c r="K1401" s="8" t="str">
        <f t="shared" si="1"/>
        <v>CALL InsertOrUpdateAtributosProductos ('4673','795','5','LITROS','500 ml','2','0');</v>
      </c>
    </row>
    <row r="1402">
      <c r="A1402" s="2">
        <v>4674.0</v>
      </c>
      <c r="B1402" s="2">
        <v>795.0</v>
      </c>
      <c r="C1402" s="2">
        <v>5.0</v>
      </c>
      <c r="D1402" s="2" t="s">
        <v>540</v>
      </c>
      <c r="E1402" s="2" t="s">
        <v>2205</v>
      </c>
      <c r="H1402" s="2">
        <v>3.0</v>
      </c>
      <c r="I1402" s="2">
        <v>0.0</v>
      </c>
      <c r="K1402" s="8" t="str">
        <f t="shared" si="1"/>
        <v>CALL InsertOrUpdateAtributosProductos ('4674','795','5','LITROS','1 litro','3','0');</v>
      </c>
    </row>
    <row r="1403">
      <c r="A1403" s="2">
        <v>4675.0</v>
      </c>
      <c r="B1403" s="2">
        <v>795.0</v>
      </c>
      <c r="C1403" s="2">
        <v>5.0</v>
      </c>
      <c r="D1403" s="2" t="s">
        <v>540</v>
      </c>
      <c r="E1403" s="2" t="s">
        <v>2206</v>
      </c>
      <c r="H1403" s="2">
        <v>4.0</v>
      </c>
      <c r="I1403" s="2">
        <v>0.0</v>
      </c>
      <c r="K1403" s="8" t="str">
        <f t="shared" si="1"/>
        <v>CALL InsertOrUpdateAtributosProductos ('4675','795','5','LITROS','4 litros','4','0');</v>
      </c>
    </row>
    <row r="1404">
      <c r="A1404" s="2">
        <v>4676.0</v>
      </c>
      <c r="B1404" s="2">
        <v>795.0</v>
      </c>
      <c r="C1404" s="2">
        <v>8.0</v>
      </c>
      <c r="D1404" s="2" t="s">
        <v>581</v>
      </c>
      <c r="E1404" s="2" t="s">
        <v>2223</v>
      </c>
      <c r="H1404" s="2">
        <v>1.0</v>
      </c>
      <c r="I1404" s="2">
        <v>0.0</v>
      </c>
      <c r="K1404" s="8" t="str">
        <f t="shared" si="1"/>
        <v>CALL InsertOrUpdateAtributosProductos ('4676','795','8','COLOR','Blanco','1','0');</v>
      </c>
    </row>
    <row r="1405">
      <c r="A1405" s="2">
        <v>4677.0</v>
      </c>
      <c r="B1405" s="2">
        <v>795.0</v>
      </c>
      <c r="C1405" s="2">
        <v>8.0</v>
      </c>
      <c r="D1405" s="2" t="s">
        <v>581</v>
      </c>
      <c r="E1405" s="2" t="s">
        <v>2221</v>
      </c>
      <c r="H1405" s="2">
        <v>2.0</v>
      </c>
      <c r="I1405" s="2">
        <v>0.0</v>
      </c>
      <c r="K1405" s="8" t="str">
        <f t="shared" si="1"/>
        <v>CALL InsertOrUpdateAtributosProductos ('4677','795','8','COLOR','Negro','2','0');</v>
      </c>
    </row>
    <row r="1406">
      <c r="A1406" s="2">
        <v>4678.0</v>
      </c>
      <c r="B1406" s="2">
        <v>795.0</v>
      </c>
      <c r="C1406" s="2">
        <v>8.0</v>
      </c>
      <c r="D1406" s="2" t="s">
        <v>581</v>
      </c>
      <c r="E1406" s="2" t="s">
        <v>2231</v>
      </c>
      <c r="H1406" s="2">
        <v>3.0</v>
      </c>
      <c r="I1406" s="2">
        <v>0.0</v>
      </c>
      <c r="K1406" s="8" t="str">
        <f t="shared" si="1"/>
        <v>CALL InsertOrUpdateAtributosProductos ('4678','795','8','COLOR','Rojo','3','0');</v>
      </c>
    </row>
    <row r="1407">
      <c r="A1407" s="2">
        <v>4679.0</v>
      </c>
      <c r="B1407" s="2">
        <v>795.0</v>
      </c>
      <c r="C1407" s="2">
        <v>8.0</v>
      </c>
      <c r="D1407" s="2" t="s">
        <v>581</v>
      </c>
      <c r="E1407" s="2" t="s">
        <v>2226</v>
      </c>
      <c r="H1407" s="2">
        <v>4.0</v>
      </c>
      <c r="I1407" s="2">
        <v>0.0</v>
      </c>
      <c r="K1407" s="8" t="str">
        <f t="shared" si="1"/>
        <v>CALL InsertOrUpdateAtributosProductos ('4679','795','8','COLOR','Naranja','4','0');</v>
      </c>
    </row>
    <row r="1408">
      <c r="A1408" s="2">
        <v>4680.0</v>
      </c>
      <c r="B1408" s="2">
        <v>796.0</v>
      </c>
      <c r="C1408" s="2">
        <v>5.0</v>
      </c>
      <c r="D1408" s="2" t="s">
        <v>540</v>
      </c>
      <c r="E1408" s="2" t="s">
        <v>2213</v>
      </c>
      <c r="H1408" s="2">
        <v>1.0</v>
      </c>
      <c r="I1408" s="2">
        <v>0.0</v>
      </c>
      <c r="K1408" s="8" t="str">
        <f t="shared" si="1"/>
        <v>CALL InsertOrUpdateAtributosProductos ('4680','796','5','LITROS','250 ml','1','0');</v>
      </c>
    </row>
    <row r="1409">
      <c r="A1409" s="2">
        <v>4681.0</v>
      </c>
      <c r="B1409" s="2">
        <v>796.0</v>
      </c>
      <c r="C1409" s="2">
        <v>5.0</v>
      </c>
      <c r="D1409" s="2" t="s">
        <v>540</v>
      </c>
      <c r="E1409" s="2" t="s">
        <v>2214</v>
      </c>
      <c r="H1409" s="2">
        <v>2.0</v>
      </c>
      <c r="I1409" s="2">
        <v>0.0</v>
      </c>
      <c r="K1409" s="8" t="str">
        <f t="shared" si="1"/>
        <v>CALL InsertOrUpdateAtributosProductos ('4681','796','5','LITROS','500 ml','2','0');</v>
      </c>
    </row>
    <row r="1410">
      <c r="A1410" s="2">
        <v>4682.0</v>
      </c>
      <c r="B1410" s="2">
        <v>796.0</v>
      </c>
      <c r="C1410" s="2">
        <v>5.0</v>
      </c>
      <c r="D1410" s="2" t="s">
        <v>540</v>
      </c>
      <c r="E1410" s="2" t="s">
        <v>2205</v>
      </c>
      <c r="H1410" s="2">
        <v>3.0</v>
      </c>
      <c r="I1410" s="2">
        <v>0.0</v>
      </c>
      <c r="K1410" s="8" t="str">
        <f t="shared" si="1"/>
        <v>CALL InsertOrUpdateAtributosProductos ('4682','796','5','LITROS','1 litro','3','0');</v>
      </c>
    </row>
    <row r="1411">
      <c r="A1411" s="2">
        <v>4683.0</v>
      </c>
      <c r="B1411" s="2">
        <v>796.0</v>
      </c>
      <c r="C1411" s="2">
        <v>5.0</v>
      </c>
      <c r="D1411" s="2" t="s">
        <v>540</v>
      </c>
      <c r="E1411" s="2" t="s">
        <v>2206</v>
      </c>
      <c r="H1411" s="2">
        <v>4.0</v>
      </c>
      <c r="I1411" s="2">
        <v>0.0</v>
      </c>
      <c r="K1411" s="8" t="str">
        <f t="shared" si="1"/>
        <v>CALL InsertOrUpdateAtributosProductos ('4683','796','5','LITROS','4 litros','4','0');</v>
      </c>
    </row>
    <row r="1412">
      <c r="A1412" s="2">
        <v>4684.0</v>
      </c>
      <c r="B1412" s="2">
        <v>796.0</v>
      </c>
      <c r="C1412" s="2">
        <v>8.0</v>
      </c>
      <c r="D1412" s="2" t="s">
        <v>581</v>
      </c>
      <c r="E1412" s="2" t="s">
        <v>2223</v>
      </c>
      <c r="H1412" s="2">
        <v>1.0</v>
      </c>
      <c r="I1412" s="2">
        <v>0.0</v>
      </c>
      <c r="K1412" s="8" t="str">
        <f t="shared" si="1"/>
        <v>CALL InsertOrUpdateAtributosProductos ('4684','796','8','COLOR','Blanco','1','0');</v>
      </c>
    </row>
    <row r="1413">
      <c r="A1413" s="2">
        <v>4685.0</v>
      </c>
      <c r="B1413" s="2">
        <v>796.0</v>
      </c>
      <c r="C1413" s="2">
        <v>8.0</v>
      </c>
      <c r="D1413" s="2" t="s">
        <v>581</v>
      </c>
      <c r="E1413" s="2" t="s">
        <v>2221</v>
      </c>
      <c r="H1413" s="2">
        <v>2.0</v>
      </c>
      <c r="I1413" s="2">
        <v>0.0</v>
      </c>
      <c r="K1413" s="8" t="str">
        <f t="shared" si="1"/>
        <v>CALL InsertOrUpdateAtributosProductos ('4685','796','8','COLOR','Negro','2','0');</v>
      </c>
    </row>
    <row r="1414">
      <c r="A1414" s="2">
        <v>4686.0</v>
      </c>
      <c r="B1414" s="2">
        <v>796.0</v>
      </c>
      <c r="C1414" s="2">
        <v>8.0</v>
      </c>
      <c r="D1414" s="2" t="s">
        <v>581</v>
      </c>
      <c r="E1414" s="2" t="s">
        <v>2231</v>
      </c>
      <c r="H1414" s="2">
        <v>3.0</v>
      </c>
      <c r="I1414" s="2">
        <v>0.0</v>
      </c>
      <c r="K1414" s="8" t="str">
        <f t="shared" si="1"/>
        <v>CALL InsertOrUpdateAtributosProductos ('4686','796','8','COLOR','Rojo','3','0');</v>
      </c>
    </row>
    <row r="1415">
      <c r="A1415" s="2">
        <v>4687.0</v>
      </c>
      <c r="B1415" s="2">
        <v>796.0</v>
      </c>
      <c r="C1415" s="2">
        <v>8.0</v>
      </c>
      <c r="D1415" s="2" t="s">
        <v>581</v>
      </c>
      <c r="E1415" s="2" t="s">
        <v>2226</v>
      </c>
      <c r="H1415" s="2">
        <v>4.0</v>
      </c>
      <c r="I1415" s="2">
        <v>0.0</v>
      </c>
      <c r="K1415" s="8" t="str">
        <f t="shared" si="1"/>
        <v>CALL InsertOrUpdateAtributosProductos ('4687','796','8','COLOR','Naranja','4','0');</v>
      </c>
    </row>
    <row r="1416">
      <c r="A1416" s="2">
        <v>4688.0</v>
      </c>
      <c r="B1416" s="2">
        <v>797.0</v>
      </c>
      <c r="C1416" s="2">
        <v>5.0</v>
      </c>
      <c r="D1416" s="2" t="s">
        <v>540</v>
      </c>
      <c r="E1416" s="2" t="s">
        <v>2205</v>
      </c>
      <c r="H1416" s="2">
        <v>1.0</v>
      </c>
      <c r="I1416" s="2">
        <v>0.0</v>
      </c>
      <c r="K1416" s="8" t="str">
        <f t="shared" si="1"/>
        <v>CALL InsertOrUpdateAtributosProductos ('4688','797','5','LITROS','1 litro','1','0');</v>
      </c>
    </row>
    <row r="1417">
      <c r="A1417" s="2">
        <v>4689.0</v>
      </c>
      <c r="B1417" s="2">
        <v>797.0</v>
      </c>
      <c r="C1417" s="2">
        <v>5.0</v>
      </c>
      <c r="D1417" s="2" t="s">
        <v>540</v>
      </c>
      <c r="E1417" s="2" t="s">
        <v>2206</v>
      </c>
      <c r="H1417" s="2">
        <v>2.0</v>
      </c>
      <c r="I1417" s="2">
        <v>0.0</v>
      </c>
      <c r="K1417" s="8" t="str">
        <f t="shared" si="1"/>
        <v>CALL InsertOrUpdateAtributosProductos ('4689','797','5','LITROS','4 litros','2','0');</v>
      </c>
    </row>
    <row r="1418">
      <c r="A1418" s="2">
        <v>4690.0</v>
      </c>
      <c r="B1418" s="2">
        <v>797.0</v>
      </c>
      <c r="C1418" s="2">
        <v>8.0</v>
      </c>
      <c r="D1418" s="2" t="s">
        <v>581</v>
      </c>
      <c r="E1418" s="2" t="s">
        <v>2222</v>
      </c>
      <c r="H1418" s="2">
        <v>1.0</v>
      </c>
      <c r="I1418" s="2">
        <v>0.0</v>
      </c>
      <c r="K1418" s="8" t="str">
        <f t="shared" si="1"/>
        <v>CALL InsertOrUpdateAtributosProductos ('4690','797','8','COLOR','Amarillo','1','0');</v>
      </c>
    </row>
    <row r="1419">
      <c r="A1419" s="2">
        <v>4691.0</v>
      </c>
      <c r="B1419" s="2">
        <v>797.0</v>
      </c>
      <c r="C1419" s="2">
        <v>8.0</v>
      </c>
      <c r="D1419" s="2" t="s">
        <v>581</v>
      </c>
      <c r="E1419" s="2" t="s">
        <v>2223</v>
      </c>
      <c r="H1419" s="2">
        <v>2.0</v>
      </c>
      <c r="I1419" s="2">
        <v>0.0</v>
      </c>
      <c r="K1419" s="8" t="str">
        <f t="shared" si="1"/>
        <v>CALL InsertOrUpdateAtributosProductos ('4691','797','8','COLOR','Blanco','2','0');</v>
      </c>
    </row>
    <row r="1420">
      <c r="A1420" s="2">
        <v>4692.0</v>
      </c>
      <c r="B1420" s="2">
        <v>797.0</v>
      </c>
      <c r="C1420" s="2">
        <v>8.0</v>
      </c>
      <c r="D1420" s="2" t="s">
        <v>581</v>
      </c>
      <c r="E1420" s="2" t="s">
        <v>2224</v>
      </c>
      <c r="H1420" s="2">
        <v>3.0</v>
      </c>
      <c r="I1420" s="2">
        <v>0.0</v>
      </c>
      <c r="K1420" s="8" t="str">
        <f t="shared" si="1"/>
        <v>CALL InsertOrUpdateAtributosProductos ('4692','797','8','COLOR','Gris','3','0');</v>
      </c>
    </row>
    <row r="1421">
      <c r="A1421" s="2">
        <v>4693.0</v>
      </c>
      <c r="B1421" s="2">
        <v>797.0</v>
      </c>
      <c r="C1421" s="2">
        <v>8.0</v>
      </c>
      <c r="D1421" s="2" t="s">
        <v>581</v>
      </c>
      <c r="E1421" s="2" t="s">
        <v>2221</v>
      </c>
      <c r="H1421" s="2">
        <v>4.0</v>
      </c>
      <c r="I1421" s="2">
        <v>0.0</v>
      </c>
      <c r="K1421" s="8" t="str">
        <f t="shared" si="1"/>
        <v>CALL InsertOrUpdateAtributosProductos ('4693','797','8','COLOR','Negro','4','0');</v>
      </c>
    </row>
    <row r="1422">
      <c r="A1422" s="2">
        <v>4694.0</v>
      </c>
      <c r="B1422" s="2">
        <v>797.0</v>
      </c>
      <c r="C1422" s="2">
        <v>8.0</v>
      </c>
      <c r="D1422" s="2" t="s">
        <v>581</v>
      </c>
      <c r="E1422" s="2" t="s">
        <v>2231</v>
      </c>
      <c r="H1422" s="2">
        <v>5.0</v>
      </c>
      <c r="I1422" s="2">
        <v>0.0</v>
      </c>
      <c r="K1422" s="8" t="str">
        <f t="shared" si="1"/>
        <v>CALL InsertOrUpdateAtributosProductos ('4694','797','8','COLOR','Rojo','5','0');</v>
      </c>
    </row>
    <row r="1423">
      <c r="A1423" s="2">
        <v>4695.0</v>
      </c>
      <c r="B1423" s="2">
        <v>797.0</v>
      </c>
      <c r="C1423" s="2">
        <v>8.0</v>
      </c>
      <c r="D1423" s="2" t="s">
        <v>581</v>
      </c>
      <c r="E1423" s="2" t="s">
        <v>2774</v>
      </c>
      <c r="H1423" s="2">
        <v>6.0</v>
      </c>
      <c r="I1423" s="2">
        <v>0.0</v>
      </c>
      <c r="K1423" s="8" t="str">
        <f t="shared" si="1"/>
        <v>CALL InsertOrUpdateAtributosProductos ('4695','797','8','COLOR','Verde cemento','6','0');</v>
      </c>
    </row>
    <row r="1424">
      <c r="A1424" s="2">
        <v>4696.0</v>
      </c>
      <c r="B1424" s="2">
        <v>798.0</v>
      </c>
      <c r="C1424" s="2">
        <v>11.0</v>
      </c>
      <c r="D1424" s="2" t="s">
        <v>673</v>
      </c>
      <c r="E1424" s="2">
        <v>60.0</v>
      </c>
      <c r="H1424" s="2">
        <v>1.0</v>
      </c>
      <c r="I1424" s="2">
        <v>0.0</v>
      </c>
      <c r="K1424" s="8" t="str">
        <f t="shared" si="1"/>
        <v>CALL InsertOrUpdateAtributosProductos ('4696','798','11','GRANO','60','1','0');</v>
      </c>
    </row>
    <row r="1425">
      <c r="A1425" s="2">
        <v>4697.0</v>
      </c>
      <c r="B1425" s="2">
        <v>798.0</v>
      </c>
      <c r="C1425" s="2">
        <v>11.0</v>
      </c>
      <c r="D1425" s="2" t="s">
        <v>673</v>
      </c>
      <c r="E1425" s="2">
        <v>80.0</v>
      </c>
      <c r="H1425" s="2">
        <v>2.0</v>
      </c>
      <c r="I1425" s="2">
        <v>0.0</v>
      </c>
      <c r="K1425" s="8" t="str">
        <f t="shared" si="1"/>
        <v>CALL InsertOrUpdateAtributosProductos ('4697','798','11','GRANO','80','2','0');</v>
      </c>
    </row>
    <row r="1426">
      <c r="A1426" s="2">
        <v>4698.0</v>
      </c>
      <c r="B1426" s="2">
        <v>798.0</v>
      </c>
      <c r="C1426" s="2">
        <v>11.0</v>
      </c>
      <c r="D1426" s="2" t="s">
        <v>673</v>
      </c>
      <c r="E1426" s="2">
        <v>100.0</v>
      </c>
      <c r="H1426" s="2">
        <v>3.0</v>
      </c>
      <c r="I1426" s="2">
        <v>0.0</v>
      </c>
      <c r="K1426" s="8" t="str">
        <f t="shared" si="1"/>
        <v>CALL InsertOrUpdateAtributosProductos ('4698','798','11','GRANO','100','3','0');</v>
      </c>
    </row>
    <row r="1427">
      <c r="A1427" s="2">
        <v>4699.0</v>
      </c>
      <c r="B1427" s="2">
        <v>798.0</v>
      </c>
      <c r="C1427" s="2">
        <v>11.0</v>
      </c>
      <c r="D1427" s="2" t="s">
        <v>673</v>
      </c>
      <c r="E1427" s="2">
        <v>120.0</v>
      </c>
      <c r="H1427" s="2">
        <v>4.0</v>
      </c>
      <c r="I1427" s="2">
        <v>0.0</v>
      </c>
      <c r="K1427" s="8" t="str">
        <f t="shared" si="1"/>
        <v>CALL InsertOrUpdateAtributosProductos ('4699','798','11','GRANO','120','4','0');</v>
      </c>
    </row>
    <row r="1428">
      <c r="A1428" s="2">
        <v>4700.0</v>
      </c>
      <c r="B1428" s="2">
        <v>798.0</v>
      </c>
      <c r="C1428" s="2">
        <v>11.0</v>
      </c>
      <c r="D1428" s="2" t="s">
        <v>673</v>
      </c>
      <c r="E1428" s="2">
        <v>150.0</v>
      </c>
      <c r="H1428" s="2">
        <v>5.0</v>
      </c>
      <c r="I1428" s="2">
        <v>0.0</v>
      </c>
      <c r="K1428" s="8" t="str">
        <f t="shared" si="1"/>
        <v>CALL InsertOrUpdateAtributosProductos ('4700','798','11','GRANO','150','5','0');</v>
      </c>
    </row>
    <row r="1429">
      <c r="A1429" s="2">
        <v>4701.0</v>
      </c>
      <c r="B1429" s="2">
        <v>798.0</v>
      </c>
      <c r="C1429" s="2">
        <v>11.0</v>
      </c>
      <c r="D1429" s="2" t="s">
        <v>673</v>
      </c>
      <c r="E1429" s="2">
        <v>180.0</v>
      </c>
      <c r="H1429" s="2">
        <v>6.0</v>
      </c>
      <c r="I1429" s="2">
        <v>0.0</v>
      </c>
      <c r="K1429" s="8" t="str">
        <f t="shared" si="1"/>
        <v>CALL InsertOrUpdateAtributosProductos ('4701','798','11','GRANO','180','6','0');</v>
      </c>
    </row>
    <row r="1430">
      <c r="A1430" s="2">
        <v>4702.0</v>
      </c>
      <c r="B1430" s="2">
        <v>798.0</v>
      </c>
      <c r="C1430" s="2">
        <v>11.0</v>
      </c>
      <c r="D1430" s="2" t="s">
        <v>673</v>
      </c>
      <c r="E1430" s="2">
        <v>220.0</v>
      </c>
      <c r="H1430" s="2">
        <v>7.0</v>
      </c>
      <c r="I1430" s="2">
        <v>0.0</v>
      </c>
      <c r="K1430" s="8" t="str">
        <f t="shared" si="1"/>
        <v>CALL InsertOrUpdateAtributosProductos ('4702','798','11','GRANO','220','7','0');</v>
      </c>
    </row>
    <row r="1431">
      <c r="A1431" s="2">
        <v>4703.0</v>
      </c>
      <c r="B1431" s="2">
        <v>798.0</v>
      </c>
      <c r="C1431" s="2">
        <v>11.0</v>
      </c>
      <c r="D1431" s="2" t="s">
        <v>673</v>
      </c>
      <c r="E1431" s="2">
        <v>240.0</v>
      </c>
      <c r="H1431" s="2">
        <v>8.0</v>
      </c>
      <c r="I1431" s="2">
        <v>0.0</v>
      </c>
      <c r="K1431" s="8" t="str">
        <f t="shared" si="1"/>
        <v>CALL InsertOrUpdateAtributosProductos ('4703','798','11','GRANO','240','8','0');</v>
      </c>
    </row>
    <row r="1432">
      <c r="A1432" s="2">
        <v>4704.0</v>
      </c>
      <c r="B1432" s="2">
        <v>798.0</v>
      </c>
      <c r="C1432" s="2">
        <v>11.0</v>
      </c>
      <c r="D1432" s="2" t="s">
        <v>673</v>
      </c>
      <c r="E1432" s="2">
        <v>280.0</v>
      </c>
      <c r="H1432" s="2">
        <v>9.0</v>
      </c>
      <c r="I1432" s="2">
        <v>0.0</v>
      </c>
      <c r="K1432" s="8" t="str">
        <f t="shared" si="1"/>
        <v>CALL InsertOrUpdateAtributosProductos ('4704','798','11','GRANO','280','9','0');</v>
      </c>
    </row>
    <row r="1433">
      <c r="A1433" s="2">
        <v>4705.0</v>
      </c>
      <c r="B1433" s="2">
        <v>798.0</v>
      </c>
      <c r="C1433" s="2">
        <v>11.0</v>
      </c>
      <c r="D1433" s="2" t="s">
        <v>673</v>
      </c>
      <c r="E1433" s="2">
        <v>320.0</v>
      </c>
      <c r="H1433" s="2">
        <v>10.0</v>
      </c>
      <c r="I1433" s="2">
        <v>0.0</v>
      </c>
      <c r="K1433" s="8" t="str">
        <f t="shared" si="1"/>
        <v>CALL InsertOrUpdateAtributosProductos ('4705','798','11','GRANO','320','10','0');</v>
      </c>
    </row>
    <row r="1434">
      <c r="A1434" s="2">
        <v>4706.0</v>
      </c>
      <c r="B1434" s="2">
        <v>798.0</v>
      </c>
      <c r="C1434" s="2">
        <v>11.0</v>
      </c>
      <c r="D1434" s="2" t="s">
        <v>673</v>
      </c>
      <c r="E1434" s="2">
        <v>360.0</v>
      </c>
      <c r="H1434" s="2">
        <v>11.0</v>
      </c>
      <c r="I1434" s="2">
        <v>0.0</v>
      </c>
      <c r="K1434" s="8" t="str">
        <f t="shared" si="1"/>
        <v>CALL InsertOrUpdateAtributosProductos ('4706','798','11','GRANO','360','11','0');</v>
      </c>
    </row>
    <row r="1435">
      <c r="A1435" s="2">
        <v>4707.0</v>
      </c>
      <c r="B1435" s="2">
        <v>798.0</v>
      </c>
      <c r="C1435" s="2">
        <v>11.0</v>
      </c>
      <c r="D1435" s="2" t="s">
        <v>673</v>
      </c>
      <c r="E1435" s="2">
        <v>400.0</v>
      </c>
      <c r="H1435" s="2">
        <v>12.0</v>
      </c>
      <c r="I1435" s="2">
        <v>0.0</v>
      </c>
      <c r="K1435" s="8" t="str">
        <f t="shared" si="1"/>
        <v>CALL InsertOrUpdateAtributosProductos ('4707','798','11','GRANO','400','12','0');</v>
      </c>
    </row>
    <row r="1436">
      <c r="A1436" s="2">
        <v>4708.0</v>
      </c>
      <c r="B1436" s="2">
        <v>798.0</v>
      </c>
      <c r="C1436" s="2">
        <v>11.0</v>
      </c>
      <c r="D1436" s="2" t="s">
        <v>673</v>
      </c>
      <c r="E1436" s="2">
        <v>500.0</v>
      </c>
      <c r="H1436" s="2">
        <v>13.0</v>
      </c>
      <c r="I1436" s="2">
        <v>0.0</v>
      </c>
      <c r="K1436" s="8" t="str">
        <f t="shared" si="1"/>
        <v>CALL InsertOrUpdateAtributosProductos ('4708','798','11','GRANO','500','13','0');</v>
      </c>
    </row>
    <row r="1437">
      <c r="A1437" s="2">
        <v>4709.0</v>
      </c>
      <c r="B1437" s="2">
        <v>798.0</v>
      </c>
      <c r="C1437" s="2">
        <v>11.0</v>
      </c>
      <c r="D1437" s="2" t="s">
        <v>673</v>
      </c>
      <c r="E1437" s="2">
        <v>600.0</v>
      </c>
      <c r="H1437" s="2">
        <v>14.0</v>
      </c>
      <c r="I1437" s="2">
        <v>0.0</v>
      </c>
      <c r="K1437" s="8" t="str">
        <f t="shared" si="1"/>
        <v>CALL InsertOrUpdateAtributosProductos ('4709','798','11','GRANO','600','14','0');</v>
      </c>
    </row>
    <row r="1438">
      <c r="A1438" s="2">
        <v>4710.0</v>
      </c>
      <c r="B1438" s="2">
        <v>798.0</v>
      </c>
      <c r="C1438" s="2">
        <v>11.0</v>
      </c>
      <c r="D1438" s="2" t="s">
        <v>673</v>
      </c>
      <c r="E1438" s="2">
        <v>800.0</v>
      </c>
      <c r="H1438" s="2">
        <v>15.0</v>
      </c>
      <c r="I1438" s="2">
        <v>0.0</v>
      </c>
      <c r="K1438" s="8" t="str">
        <f t="shared" si="1"/>
        <v>CALL InsertOrUpdateAtributosProductos ('4710','798','11','GRANO','800','15','0');</v>
      </c>
    </row>
    <row r="1439">
      <c r="A1439" s="2">
        <v>4711.0</v>
      </c>
      <c r="B1439" s="2">
        <v>798.0</v>
      </c>
      <c r="C1439" s="2">
        <v>11.0</v>
      </c>
      <c r="D1439" s="2" t="s">
        <v>673</v>
      </c>
      <c r="E1439" s="2">
        <v>1000.0</v>
      </c>
      <c r="H1439" s="2">
        <v>16.0</v>
      </c>
      <c r="I1439" s="2">
        <v>0.0</v>
      </c>
      <c r="K1439" s="8" t="str">
        <f t="shared" si="1"/>
        <v>CALL InsertOrUpdateAtributosProductos ('4711','798','11','GRANO','1000','16','0');</v>
      </c>
    </row>
    <row r="1440">
      <c r="A1440" s="2">
        <v>4712.0</v>
      </c>
      <c r="B1440" s="2">
        <v>798.0</v>
      </c>
      <c r="C1440" s="2">
        <v>11.0</v>
      </c>
      <c r="D1440" s="2" t="s">
        <v>673</v>
      </c>
      <c r="E1440" s="2">
        <v>1200.0</v>
      </c>
      <c r="H1440" s="2">
        <v>17.0</v>
      </c>
      <c r="I1440" s="2">
        <v>0.0</v>
      </c>
      <c r="K1440" s="8" t="str">
        <f t="shared" si="1"/>
        <v>CALL InsertOrUpdateAtributosProductos ('4712','798','11','GRANO','1200','17','0');</v>
      </c>
    </row>
    <row r="1441">
      <c r="A1441" s="2">
        <v>4713.0</v>
      </c>
      <c r="B1441" s="2">
        <v>800.0</v>
      </c>
      <c r="C1441" s="2">
        <v>12.0</v>
      </c>
      <c r="D1441" s="2" t="s">
        <v>692</v>
      </c>
      <c r="E1441" s="2" t="s">
        <v>2775</v>
      </c>
      <c r="H1441" s="2">
        <v>1.0</v>
      </c>
      <c r="I1441" s="2">
        <v>0.0</v>
      </c>
      <c r="K1441" s="8" t="str">
        <f t="shared" si="1"/>
        <v>CALL InsertOrUpdateAtributosProductos ('4713','800','12','PESO','7 kilos','1','0');</v>
      </c>
    </row>
    <row r="1442">
      <c r="A1442" s="2">
        <v>4714.0</v>
      </c>
      <c r="B1442" s="2">
        <v>800.0</v>
      </c>
      <c r="C1442" s="2">
        <v>12.0</v>
      </c>
      <c r="D1442" s="2" t="s">
        <v>692</v>
      </c>
      <c r="E1442" s="2" t="s">
        <v>2776</v>
      </c>
      <c r="H1442" s="2">
        <v>2.0</v>
      </c>
      <c r="I1442" s="2">
        <v>0.0</v>
      </c>
      <c r="K1442" s="8" t="str">
        <f t="shared" si="1"/>
        <v>CALL InsertOrUpdateAtributosProductos ('4714','800','12','PESO','15 kilos','2','0');</v>
      </c>
    </row>
    <row r="1443">
      <c r="A1443" s="2">
        <v>4715.0</v>
      </c>
      <c r="B1443" s="2">
        <v>800.0</v>
      </c>
      <c r="C1443" s="2">
        <v>12.0</v>
      </c>
      <c r="D1443" s="2" t="s">
        <v>692</v>
      </c>
      <c r="E1443" s="2" t="s">
        <v>2777</v>
      </c>
      <c r="H1443" s="2">
        <v>3.0</v>
      </c>
      <c r="I1443" s="2">
        <v>0.0</v>
      </c>
      <c r="K1443" s="8" t="str">
        <f t="shared" si="1"/>
        <v>CALL InsertOrUpdateAtributosProductos ('4715','800','12','PESO','32 kilos','3','0');</v>
      </c>
    </row>
    <row r="1444">
      <c r="A1444" s="2">
        <v>4716.0</v>
      </c>
      <c r="B1444" s="2">
        <v>806.0</v>
      </c>
      <c r="C1444" s="2">
        <v>3.0</v>
      </c>
      <c r="D1444" s="2" t="s">
        <v>263</v>
      </c>
      <c r="E1444" s="2" t="s">
        <v>2467</v>
      </c>
      <c r="H1444" s="2">
        <v>1.0</v>
      </c>
      <c r="I1444" s="2">
        <v>0.0</v>
      </c>
      <c r="K1444" s="8" t="str">
        <f t="shared" si="1"/>
        <v>CALL InsertOrUpdateAtributosProductos ('4716','806','3','MEDIDAS','23 x 20,4 x 3,7 cm','1','0');</v>
      </c>
    </row>
    <row r="1445">
      <c r="A1445" s="2">
        <v>4717.0</v>
      </c>
      <c r="B1445" s="2">
        <v>807.0</v>
      </c>
      <c r="C1445" s="2">
        <v>3.0</v>
      </c>
      <c r="D1445" s="2" t="s">
        <v>263</v>
      </c>
      <c r="E1445" s="2" t="s">
        <v>2469</v>
      </c>
      <c r="H1445" s="2">
        <v>1.0</v>
      </c>
      <c r="I1445" s="2">
        <v>0.0</v>
      </c>
      <c r="K1445" s="8" t="str">
        <f t="shared" si="1"/>
        <v>CALL InsertOrUpdateAtributosProductos ('4717','807','3','MEDIDAS','15 x 10,8 x 4,5 cm','1','0');</v>
      </c>
    </row>
    <row r="1446">
      <c r="A1446" s="2">
        <v>4718.0</v>
      </c>
      <c r="B1446" s="2">
        <v>807.0</v>
      </c>
      <c r="C1446" s="2">
        <v>3.0</v>
      </c>
      <c r="D1446" s="2" t="s">
        <v>263</v>
      </c>
      <c r="E1446" s="2" t="s">
        <v>2470</v>
      </c>
      <c r="H1446" s="2">
        <v>2.0</v>
      </c>
      <c r="I1446" s="2">
        <v>0.0</v>
      </c>
      <c r="K1446" s="8" t="str">
        <f t="shared" si="1"/>
        <v>CALL InsertOrUpdateAtributosProductos ('4718','807','3','MEDIDAS','17,8 x 13,2 x 5 cm','2','0');</v>
      </c>
    </row>
    <row r="1447">
      <c r="A1447" s="2">
        <v>4719.0</v>
      </c>
      <c r="B1447" s="2">
        <v>807.0</v>
      </c>
      <c r="C1447" s="2">
        <v>3.0</v>
      </c>
      <c r="D1447" s="2" t="s">
        <v>263</v>
      </c>
      <c r="E1447" s="2" t="s">
        <v>2471</v>
      </c>
      <c r="H1447" s="2">
        <v>3.0</v>
      </c>
      <c r="I1447" s="2">
        <v>0.0</v>
      </c>
      <c r="K1447" s="8" t="str">
        <f t="shared" si="1"/>
        <v>CALL InsertOrUpdateAtributosProductos ('4719','807','3','MEDIDAS','22,8 x 18 x 4,1 cm','3','0');</v>
      </c>
    </row>
    <row r="1448">
      <c r="A1448" s="2">
        <v>4723.0</v>
      </c>
      <c r="B1448" s="2">
        <v>808.0</v>
      </c>
      <c r="C1448" s="2">
        <v>3.0</v>
      </c>
      <c r="D1448" s="2" t="s">
        <v>263</v>
      </c>
      <c r="E1448" s="2" t="s">
        <v>2308</v>
      </c>
      <c r="H1448" s="2">
        <v>1.0</v>
      </c>
      <c r="I1448" s="2">
        <v>0.0</v>
      </c>
      <c r="K1448" s="8" t="str">
        <f t="shared" si="1"/>
        <v>CALL InsertOrUpdateAtributosProductos ('4723','808','3','MEDIDAS','20 mm x 1/2"','1','0');</v>
      </c>
    </row>
    <row r="1449">
      <c r="A1449" s="2">
        <v>4724.0</v>
      </c>
      <c r="B1449" s="2">
        <v>808.0</v>
      </c>
      <c r="C1449" s="2">
        <v>3.0</v>
      </c>
      <c r="D1449" s="2" t="s">
        <v>263</v>
      </c>
      <c r="E1449" s="2" t="s">
        <v>2309</v>
      </c>
      <c r="H1449" s="2">
        <v>2.0</v>
      </c>
      <c r="I1449" s="2">
        <v>0.0</v>
      </c>
      <c r="K1449" s="8" t="str">
        <f t="shared" si="1"/>
        <v>CALL InsertOrUpdateAtributosProductos ('4724','808','3','MEDIDAS','25 mm x 1/2"','2','0');</v>
      </c>
    </row>
    <row r="1450">
      <c r="A1450" s="2">
        <v>4725.0</v>
      </c>
      <c r="B1450" s="2">
        <v>808.0</v>
      </c>
      <c r="C1450" s="2">
        <v>3.0</v>
      </c>
      <c r="D1450" s="2" t="s">
        <v>263</v>
      </c>
      <c r="E1450" s="2" t="s">
        <v>2310</v>
      </c>
      <c r="H1450" s="2">
        <v>3.0</v>
      </c>
      <c r="I1450" s="2">
        <v>0.0</v>
      </c>
      <c r="K1450" s="8" t="str">
        <f t="shared" si="1"/>
        <v>CALL InsertOrUpdateAtributosProductos ('4725','808','3','MEDIDAS','25 mm x 3/4"','3','0');</v>
      </c>
    </row>
    <row r="1451">
      <c r="A1451" s="2">
        <v>4726.0</v>
      </c>
      <c r="B1451" s="2">
        <v>808.0</v>
      </c>
      <c r="C1451" s="2">
        <v>3.0</v>
      </c>
      <c r="D1451" s="2" t="s">
        <v>263</v>
      </c>
      <c r="E1451" s="2" t="s">
        <v>2311</v>
      </c>
      <c r="H1451" s="2">
        <v>4.0</v>
      </c>
      <c r="I1451" s="2">
        <v>0.0</v>
      </c>
      <c r="K1451" s="8" t="str">
        <f t="shared" si="1"/>
        <v>CALL InsertOrUpdateAtributosProductos ('4726','808','3','MEDIDAS','32 mm x 1"','4','0');</v>
      </c>
    </row>
    <row r="1452">
      <c r="A1452" s="2">
        <v>4727.0</v>
      </c>
      <c r="B1452" s="2">
        <v>808.0</v>
      </c>
      <c r="C1452" s="2">
        <v>3.0</v>
      </c>
      <c r="D1452" s="2" t="s">
        <v>263</v>
      </c>
      <c r="E1452" s="2" t="s">
        <v>2312</v>
      </c>
      <c r="H1452" s="2">
        <v>5.0</v>
      </c>
      <c r="I1452" s="2">
        <v>0.0</v>
      </c>
      <c r="K1452" s="8" t="str">
        <f t="shared" si="1"/>
        <v>CALL InsertOrUpdateAtributosProductos ('4727','808','3','MEDIDAS','32 mm x 1/2"','5','0');</v>
      </c>
    </row>
    <row r="1453">
      <c r="A1453" s="2">
        <v>4728.0</v>
      </c>
      <c r="B1453" s="2">
        <v>808.0</v>
      </c>
      <c r="C1453" s="2">
        <v>3.0</v>
      </c>
      <c r="D1453" s="2" t="s">
        <v>263</v>
      </c>
      <c r="E1453" s="2" t="s">
        <v>2313</v>
      </c>
      <c r="H1453" s="2">
        <v>6.0</v>
      </c>
      <c r="I1453" s="2">
        <v>0.0</v>
      </c>
      <c r="K1453" s="8" t="str">
        <f t="shared" si="1"/>
        <v>CALL InsertOrUpdateAtributosProductos ('4728','808','3','MEDIDAS','32 mm x 3/4"','6','0');</v>
      </c>
    </row>
    <row r="1454">
      <c r="A1454" s="2">
        <v>4729.0</v>
      </c>
      <c r="B1454" s="2">
        <v>809.0</v>
      </c>
      <c r="C1454" s="2">
        <v>3.0</v>
      </c>
      <c r="D1454" s="2" t="s">
        <v>263</v>
      </c>
      <c r="E1454" s="2" t="s">
        <v>2302</v>
      </c>
      <c r="H1454" s="2">
        <v>1.0</v>
      </c>
      <c r="I1454" s="2">
        <v>0.0</v>
      </c>
      <c r="K1454" s="8" t="str">
        <f t="shared" si="1"/>
        <v>CALL InsertOrUpdateAtributosProductos ('4729','809','3','MEDIDAS','20 mm','1','0');</v>
      </c>
    </row>
    <row r="1455">
      <c r="A1455" s="2">
        <v>4730.0</v>
      </c>
      <c r="B1455" s="2">
        <v>809.0</v>
      </c>
      <c r="C1455" s="2">
        <v>3.0</v>
      </c>
      <c r="D1455" s="2" t="s">
        <v>263</v>
      </c>
      <c r="E1455" s="2" t="s">
        <v>2303</v>
      </c>
      <c r="H1455" s="2">
        <v>2.0</v>
      </c>
      <c r="I1455" s="2">
        <v>0.0</v>
      </c>
      <c r="K1455" s="8" t="str">
        <f t="shared" si="1"/>
        <v>CALL InsertOrUpdateAtributosProductos ('4730','809','3','MEDIDAS','25 mm','2','0');</v>
      </c>
    </row>
    <row r="1456">
      <c r="A1456" s="2">
        <v>4731.0</v>
      </c>
      <c r="B1456" s="2">
        <v>238.0</v>
      </c>
      <c r="C1456" s="2">
        <v>3.0</v>
      </c>
      <c r="D1456" s="2" t="s">
        <v>263</v>
      </c>
      <c r="E1456" s="2" t="s">
        <v>2380</v>
      </c>
      <c r="G1456" s="5"/>
      <c r="H1456" s="2">
        <v>1.0</v>
      </c>
      <c r="I1456" s="2">
        <v>0.0</v>
      </c>
      <c r="K1456" s="8" t="str">
        <f t="shared" si="1"/>
        <v>CALL InsertOrUpdateAtributosProductos ('4731','238','3','MEDIDAS','110 x 63 mm','1','0');</v>
      </c>
    </row>
    <row r="1457">
      <c r="A1457" s="2">
        <v>4732.0</v>
      </c>
      <c r="B1457" s="2">
        <v>242.0</v>
      </c>
      <c r="C1457" s="2">
        <v>3.0</v>
      </c>
      <c r="D1457" s="2" t="s">
        <v>263</v>
      </c>
      <c r="E1457" s="2" t="s">
        <v>2375</v>
      </c>
      <c r="G1457" s="5"/>
      <c r="H1457" s="2">
        <v>1.0</v>
      </c>
      <c r="I1457" s="2">
        <v>0.0</v>
      </c>
      <c r="K1457" s="8" t="str">
        <f t="shared" si="1"/>
        <v>CALL InsertOrUpdateAtributosProductos ('4732','242','3','MEDIDAS','110 mm','1','0');</v>
      </c>
    </row>
    <row r="1458">
      <c r="A1458" s="2">
        <v>4733.0</v>
      </c>
      <c r="B1458" s="2">
        <v>234.0</v>
      </c>
      <c r="C1458" s="2">
        <v>3.0</v>
      </c>
      <c r="D1458" s="2" t="s">
        <v>263</v>
      </c>
      <c r="E1458" s="2" t="s">
        <v>2375</v>
      </c>
      <c r="G1458" s="5"/>
      <c r="H1458" s="2">
        <v>1.0</v>
      </c>
      <c r="I1458" s="2">
        <v>0.0</v>
      </c>
      <c r="K1458" s="8" t="str">
        <f t="shared" si="1"/>
        <v>CALL InsertOrUpdateAtributosProductos ('4733','234','3','MEDIDAS','110 mm','1','0');</v>
      </c>
    </row>
    <row r="1459">
      <c r="A1459" s="2">
        <v>4734.0</v>
      </c>
      <c r="B1459" s="2">
        <v>575.0</v>
      </c>
      <c r="C1459" s="2">
        <v>16.0</v>
      </c>
      <c r="D1459" s="2" t="s">
        <v>1331</v>
      </c>
      <c r="E1459" s="2" t="s">
        <v>2630</v>
      </c>
      <c r="G1459" s="5"/>
      <c r="H1459" s="2">
        <v>5.0</v>
      </c>
      <c r="I1459" s="2">
        <v>0.0</v>
      </c>
      <c r="K1459" s="8" t="str">
        <f t="shared" si="1"/>
        <v>CALL InsertOrUpdateAtributosProductos ('4734','575','16','FORMATO','Lata 354 cc (Pack 6)','5','0');</v>
      </c>
    </row>
    <row r="1460">
      <c r="A1460" s="2">
        <v>4735.0</v>
      </c>
      <c r="B1460" s="2">
        <v>577.0</v>
      </c>
      <c r="C1460" s="2">
        <v>16.0</v>
      </c>
      <c r="D1460" s="2" t="s">
        <v>1331</v>
      </c>
      <c r="E1460" s="2" t="s">
        <v>2630</v>
      </c>
      <c r="G1460" s="5"/>
      <c r="H1460" s="2">
        <v>5.0</v>
      </c>
      <c r="I1460" s="2">
        <v>0.0</v>
      </c>
      <c r="K1460" s="8" t="str">
        <f t="shared" si="1"/>
        <v>CALL InsertOrUpdateAtributosProductos ('4735','577','16','FORMATO','Lata 354 cc (Pack 6)','5','0');</v>
      </c>
    </row>
    <row r="1461">
      <c r="A1461" s="2">
        <v>4736.0</v>
      </c>
      <c r="B1461" s="2">
        <v>580.0</v>
      </c>
      <c r="C1461" s="2">
        <v>16.0</v>
      </c>
      <c r="D1461" s="2" t="s">
        <v>1331</v>
      </c>
      <c r="E1461" s="2" t="s">
        <v>2630</v>
      </c>
      <c r="G1461" s="5"/>
      <c r="H1461" s="2">
        <v>5.0</v>
      </c>
      <c r="I1461" s="2">
        <v>0.0</v>
      </c>
      <c r="K1461" s="8" t="str">
        <f t="shared" si="1"/>
        <v>CALL InsertOrUpdateAtributosProductos ('4736','580','16','FORMATO','Lata 354 cc (Pack 6)','5','0');</v>
      </c>
    </row>
    <row r="1462">
      <c r="A1462" s="2">
        <v>4737.0</v>
      </c>
      <c r="B1462" s="2">
        <v>581.0</v>
      </c>
      <c r="C1462" s="2">
        <v>16.0</v>
      </c>
      <c r="D1462" s="2" t="s">
        <v>1331</v>
      </c>
      <c r="E1462" s="2" t="s">
        <v>2632</v>
      </c>
      <c r="G1462" s="5"/>
      <c r="H1462" s="2">
        <v>5.0</v>
      </c>
      <c r="I1462" s="2">
        <v>0.0</v>
      </c>
      <c r="K1462" s="8" t="str">
        <f t="shared" si="1"/>
        <v>CALL InsertOrUpdateAtributosProductos ('4737','581','16','FORMATO','Botella 1,5 lts (Pack 8)','5','0');</v>
      </c>
    </row>
    <row r="1463">
      <c r="A1463" s="2">
        <v>4738.0</v>
      </c>
      <c r="B1463" s="2">
        <v>595.0</v>
      </c>
      <c r="C1463" s="2">
        <v>16.0</v>
      </c>
      <c r="D1463" s="2" t="s">
        <v>1331</v>
      </c>
      <c r="E1463" s="2" t="s">
        <v>2645</v>
      </c>
      <c r="G1463" s="5"/>
      <c r="H1463" s="2">
        <v>5.0</v>
      </c>
      <c r="I1463" s="2">
        <v>0.0</v>
      </c>
      <c r="K1463" s="8" t="str">
        <f t="shared" si="1"/>
        <v>CALL InsertOrUpdateAtributosProductos ('4738','595','16','FORMATO','Lata 473 ml','5','0');</v>
      </c>
    </row>
    <row r="1464">
      <c r="A1464" s="2">
        <v>4739.0</v>
      </c>
      <c r="B1464" s="2">
        <v>595.0</v>
      </c>
      <c r="C1464" s="2">
        <v>16.0</v>
      </c>
      <c r="D1464" s="2" t="s">
        <v>1331</v>
      </c>
      <c r="E1464" s="2" t="s">
        <v>2646</v>
      </c>
      <c r="G1464" s="5"/>
      <c r="H1464" s="2">
        <v>5.0</v>
      </c>
      <c r="I1464" s="2">
        <v>0.0</v>
      </c>
      <c r="K1464" s="8" t="str">
        <f t="shared" si="1"/>
        <v>CALL InsertOrUpdateAtributosProductos ('4739','595','16','FORMATO','Lata 710 ml','5','0');</v>
      </c>
    </row>
    <row r="1465">
      <c r="A1465" s="2">
        <v>4749.0</v>
      </c>
      <c r="B1465" s="2">
        <v>119.0</v>
      </c>
      <c r="C1465" s="2">
        <v>3.0</v>
      </c>
      <c r="D1465" s="2" t="s">
        <v>263</v>
      </c>
      <c r="E1465" s="2" t="s">
        <v>2778</v>
      </c>
      <c r="F1465" s="22"/>
      <c r="G1465" s="22"/>
      <c r="H1465" s="2">
        <v>9.0</v>
      </c>
      <c r="I1465" s="2">
        <v>0.0</v>
      </c>
      <c r="K1465" s="8" t="str">
        <f t="shared" si="1"/>
        <v>CALL InsertOrUpdateAtributosProductos ('4749','119','3','MEDIDAS','2,8 mts','9','0');</v>
      </c>
    </row>
    <row r="1466">
      <c r="A1466" s="2">
        <v>4750.0</v>
      </c>
      <c r="B1466" s="2">
        <v>119.0</v>
      </c>
      <c r="C1466" s="2">
        <v>3.0</v>
      </c>
      <c r="D1466" s="2" t="s">
        <v>263</v>
      </c>
      <c r="E1466" s="2" t="s">
        <v>2779</v>
      </c>
      <c r="F1466" s="22"/>
      <c r="G1466" s="22"/>
      <c r="H1466" s="2">
        <v>10.0</v>
      </c>
      <c r="I1466" s="2">
        <v>0.0</v>
      </c>
      <c r="K1466" s="8" t="str">
        <f t="shared" si="1"/>
        <v>CALL InsertOrUpdateAtributosProductos ('4750','119','3','MEDIDAS','3,2 mts','10','0');</v>
      </c>
    </row>
    <row r="1467">
      <c r="A1467" s="2">
        <v>4751.0</v>
      </c>
      <c r="B1467" s="2">
        <v>119.0</v>
      </c>
      <c r="C1467" s="2">
        <v>3.0</v>
      </c>
      <c r="D1467" s="2" t="s">
        <v>263</v>
      </c>
      <c r="E1467" s="2" t="s">
        <v>2780</v>
      </c>
      <c r="F1467" s="22"/>
      <c r="G1467" s="22"/>
      <c r="H1467" s="2">
        <v>11.0</v>
      </c>
      <c r="I1467" s="2">
        <v>0.0</v>
      </c>
      <c r="K1467" s="8" t="str">
        <f t="shared" si="1"/>
        <v>CALL InsertOrUpdateAtributosProductos ('4751','119','3','MEDIDAS','3,4 mts','11','0');</v>
      </c>
    </row>
    <row r="1468">
      <c r="A1468" s="2">
        <v>4752.0</v>
      </c>
      <c r="B1468" s="2">
        <v>119.0</v>
      </c>
      <c r="C1468" s="2">
        <v>3.0</v>
      </c>
      <c r="D1468" s="2" t="s">
        <v>263</v>
      </c>
      <c r="E1468" s="2" t="s">
        <v>2781</v>
      </c>
      <c r="F1468" s="22"/>
      <c r="G1468" s="22"/>
      <c r="H1468" s="2">
        <v>12.0</v>
      </c>
      <c r="I1468" s="2">
        <v>0.0</v>
      </c>
      <c r="K1468" s="8" t="str">
        <f t="shared" si="1"/>
        <v>CALL InsertOrUpdateAtributosProductos ('4752','119','3','MEDIDAS','3,6 mts','12','0');</v>
      </c>
    </row>
    <row r="1469">
      <c r="A1469" s="2">
        <v>4753.0</v>
      </c>
      <c r="B1469" s="2">
        <v>119.0</v>
      </c>
      <c r="C1469" s="2">
        <v>3.0</v>
      </c>
      <c r="D1469" s="2" t="s">
        <v>263</v>
      </c>
      <c r="E1469" s="2" t="s">
        <v>2782</v>
      </c>
      <c r="F1469" s="22"/>
      <c r="G1469" s="22"/>
      <c r="H1469" s="2">
        <v>13.0</v>
      </c>
      <c r="I1469" s="2">
        <v>0.0</v>
      </c>
      <c r="K1469" s="8" t="str">
        <f t="shared" si="1"/>
        <v>CALL InsertOrUpdateAtributosProductos ('4753','119','3','MEDIDAS','4 mts','13','0');</v>
      </c>
    </row>
    <row r="1470">
      <c r="A1470" s="2">
        <v>4754.0</v>
      </c>
      <c r="B1470" s="2">
        <v>119.0</v>
      </c>
      <c r="C1470" s="2">
        <v>3.0</v>
      </c>
      <c r="D1470" s="2" t="s">
        <v>263</v>
      </c>
      <c r="E1470" s="2" t="s">
        <v>2783</v>
      </c>
      <c r="F1470" s="22"/>
      <c r="G1470" s="22"/>
      <c r="H1470" s="2">
        <v>14.0</v>
      </c>
      <c r="I1470" s="2">
        <v>0.0</v>
      </c>
      <c r="K1470" s="8" t="str">
        <f t="shared" si="1"/>
        <v>CALL InsertOrUpdateAtributosProductos ('4754','119','3','MEDIDAS','4,4 mts','14','0');</v>
      </c>
    </row>
    <row r="1471">
      <c r="A1471" s="2">
        <v>4755.0</v>
      </c>
      <c r="B1471" s="2">
        <v>119.0</v>
      </c>
      <c r="C1471" s="2">
        <v>3.0</v>
      </c>
      <c r="D1471" s="2" t="s">
        <v>263</v>
      </c>
      <c r="E1471" s="2" t="s">
        <v>2784</v>
      </c>
      <c r="F1471" s="22"/>
      <c r="G1471" s="22"/>
      <c r="H1471" s="2">
        <v>15.0</v>
      </c>
      <c r="I1471" s="2">
        <v>0.0</v>
      </c>
      <c r="K1471" s="8" t="str">
        <f t="shared" si="1"/>
        <v>CALL InsertOrUpdateAtributosProductos ('4755','119','3','MEDIDAS','4,8 mts','15','0');</v>
      </c>
    </row>
    <row r="1472">
      <c r="A1472" s="2">
        <v>4756.0</v>
      </c>
      <c r="B1472" s="2">
        <v>119.0</v>
      </c>
      <c r="C1472" s="2">
        <v>3.0</v>
      </c>
      <c r="D1472" s="2" t="s">
        <v>263</v>
      </c>
      <c r="E1472" s="2" t="s">
        <v>2785</v>
      </c>
      <c r="F1472" s="22"/>
      <c r="G1472" s="22"/>
      <c r="H1472" s="2">
        <v>16.0</v>
      </c>
      <c r="I1472" s="2">
        <v>0.0</v>
      </c>
      <c r="K1472" s="8" t="str">
        <f t="shared" si="1"/>
        <v>CALL InsertOrUpdateAtributosProductos ('4756','119','3','MEDIDAS','5,2 mts','16','0');</v>
      </c>
    </row>
    <row r="1473">
      <c r="A1473" s="2">
        <v>4757.0</v>
      </c>
      <c r="B1473" s="2">
        <v>119.0</v>
      </c>
      <c r="C1473" s="2">
        <v>3.0</v>
      </c>
      <c r="D1473" s="2" t="s">
        <v>263</v>
      </c>
      <c r="E1473" s="2" t="s">
        <v>2786</v>
      </c>
      <c r="F1473" s="22"/>
      <c r="G1473" s="22"/>
      <c r="H1473" s="2">
        <v>17.0</v>
      </c>
      <c r="I1473" s="2">
        <v>0.0</v>
      </c>
      <c r="K1473" s="8" t="str">
        <f t="shared" si="1"/>
        <v>CALL InsertOrUpdateAtributosProductos ('4757','119','3','MEDIDAS','5,4 mts','17','0');</v>
      </c>
    </row>
    <row r="1474">
      <c r="A1474" s="2">
        <v>4758.0</v>
      </c>
      <c r="B1474" s="2">
        <v>119.0</v>
      </c>
      <c r="C1474" s="2">
        <v>3.0</v>
      </c>
      <c r="D1474" s="2" t="s">
        <v>263</v>
      </c>
      <c r="E1474" s="2" t="s">
        <v>2787</v>
      </c>
      <c r="F1474" s="22"/>
      <c r="G1474" s="22"/>
      <c r="H1474" s="2">
        <v>18.0</v>
      </c>
      <c r="I1474" s="2">
        <v>0.0</v>
      </c>
      <c r="K1474" s="8" t="str">
        <f t="shared" si="1"/>
        <v>CALL InsertOrUpdateAtributosProductos ('4758','119','3','MEDIDAS','5,6 mts','18','0');</v>
      </c>
    </row>
    <row r="1475">
      <c r="A1475" s="2">
        <v>4759.0</v>
      </c>
      <c r="B1475" s="2">
        <v>119.0</v>
      </c>
      <c r="C1475" s="2">
        <v>3.0</v>
      </c>
      <c r="D1475" s="2" t="s">
        <v>263</v>
      </c>
      <c r="E1475" s="2" t="s">
        <v>2788</v>
      </c>
      <c r="F1475" s="22"/>
      <c r="G1475" s="22"/>
      <c r="H1475" s="2">
        <v>19.0</v>
      </c>
      <c r="I1475" s="2">
        <v>0.0</v>
      </c>
      <c r="K1475" s="8" t="str">
        <f t="shared" si="1"/>
        <v>CALL InsertOrUpdateAtributosProductos ('4759','119','3','MEDIDAS','5,8 mts','19','0');</v>
      </c>
    </row>
    <row r="1476">
      <c r="A1476" s="2">
        <v>4760.0</v>
      </c>
      <c r="B1476" s="2">
        <v>119.0</v>
      </c>
      <c r="C1476" s="2">
        <v>3.0</v>
      </c>
      <c r="D1476" s="2" t="s">
        <v>263</v>
      </c>
      <c r="E1476" s="2" t="s">
        <v>2789</v>
      </c>
      <c r="F1476" s="22"/>
      <c r="G1476" s="22"/>
      <c r="H1476" s="2">
        <v>20.0</v>
      </c>
      <c r="I1476" s="2">
        <v>0.0</v>
      </c>
      <c r="K1476" s="8" t="str">
        <f t="shared" si="1"/>
        <v>CALL InsertOrUpdateAtributosProductos ('4760','119','3','MEDIDAS','6mts','20','0');</v>
      </c>
    </row>
    <row r="1477">
      <c r="A1477" s="2">
        <v>4761.0</v>
      </c>
      <c r="B1477" s="2">
        <v>119.0</v>
      </c>
      <c r="C1477" s="2">
        <v>3.0</v>
      </c>
      <c r="D1477" s="2" t="s">
        <v>263</v>
      </c>
      <c r="E1477" s="2" t="s">
        <v>2790</v>
      </c>
      <c r="F1477" s="22"/>
      <c r="G1477" s="22"/>
      <c r="H1477" s="2">
        <v>21.0</v>
      </c>
      <c r="I1477" s="2">
        <v>0.0</v>
      </c>
      <c r="K1477" s="8" t="str">
        <f t="shared" si="1"/>
        <v>CALL InsertOrUpdateAtributosProductos ('4761','119','3','MEDIDAS','6,2 mts','21','0');</v>
      </c>
    </row>
    <row r="1478">
      <c r="A1478" s="2">
        <v>4762.0</v>
      </c>
      <c r="B1478" s="2">
        <v>119.0</v>
      </c>
      <c r="C1478" s="2">
        <v>3.0</v>
      </c>
      <c r="D1478" s="2" t="s">
        <v>263</v>
      </c>
      <c r="E1478" s="2" t="s">
        <v>2791</v>
      </c>
      <c r="F1478" s="22"/>
      <c r="G1478" s="22"/>
      <c r="H1478" s="2">
        <v>22.0</v>
      </c>
      <c r="I1478" s="2">
        <v>0.0</v>
      </c>
      <c r="K1478" s="8" t="str">
        <f t="shared" si="1"/>
        <v>CALL InsertOrUpdateAtributosProductos ('4762','119','3','MEDIDAS','6,4 mts','22','0');</v>
      </c>
    </row>
    <row r="1479">
      <c r="A1479" s="2">
        <v>4763.0</v>
      </c>
      <c r="B1479" s="2">
        <v>119.0</v>
      </c>
      <c r="C1479" s="2">
        <v>3.0</v>
      </c>
      <c r="D1479" s="2" t="s">
        <v>263</v>
      </c>
      <c r="E1479" s="2" t="s">
        <v>2792</v>
      </c>
      <c r="F1479" s="22"/>
      <c r="G1479" s="22"/>
      <c r="H1479" s="2">
        <v>23.0</v>
      </c>
      <c r="I1479" s="2">
        <v>0.0</v>
      </c>
      <c r="K1479" s="8" t="str">
        <f t="shared" si="1"/>
        <v>CALL InsertOrUpdateAtributosProductos ('4763','119','3','MEDIDAS','6,6 mts','23','0');</v>
      </c>
    </row>
    <row r="1480">
      <c r="A1480" s="2">
        <v>4764.0</v>
      </c>
      <c r="B1480" s="2">
        <v>119.0</v>
      </c>
      <c r="C1480" s="2">
        <v>3.0</v>
      </c>
      <c r="D1480" s="2" t="s">
        <v>263</v>
      </c>
      <c r="E1480" s="2" t="s">
        <v>2793</v>
      </c>
      <c r="F1480" s="22"/>
      <c r="G1480" s="22"/>
      <c r="H1480" s="2">
        <v>24.0</v>
      </c>
      <c r="I1480" s="2">
        <v>0.0</v>
      </c>
      <c r="K1480" s="8" t="str">
        <f t="shared" si="1"/>
        <v>CALL InsertOrUpdateAtributosProductos ('4764','119','3','MEDIDAS','6,8 mts','24','0');</v>
      </c>
    </row>
    <row r="1481">
      <c r="A1481" s="23"/>
      <c r="B1481" s="9">
        <v>815.0</v>
      </c>
      <c r="C1481" s="2">
        <v>3.0</v>
      </c>
      <c r="D1481" s="2" t="s">
        <v>263</v>
      </c>
      <c r="E1481" s="7" t="s">
        <v>2794</v>
      </c>
      <c r="F1481" s="22"/>
      <c r="G1481" s="22"/>
      <c r="H1481" s="24">
        <v>1.0</v>
      </c>
      <c r="I1481" s="2">
        <v>0.0</v>
      </c>
      <c r="K1481" s="8" t="str">
        <f t="shared" si="1"/>
        <v>CALL InsertOrUpdateAtributosProductos ('','815','3','MEDIDAS','9,5 mm x 1,20 mts x 2,40 mts','1','0');</v>
      </c>
    </row>
    <row r="1482">
      <c r="A1482" s="23"/>
      <c r="B1482" s="9">
        <v>815.0</v>
      </c>
      <c r="C1482" s="2">
        <v>3.0</v>
      </c>
      <c r="D1482" s="2" t="s">
        <v>263</v>
      </c>
      <c r="E1482" s="7" t="s">
        <v>2795</v>
      </c>
      <c r="F1482" s="22"/>
      <c r="G1482" s="22"/>
      <c r="H1482" s="24">
        <v>2.0</v>
      </c>
      <c r="I1482" s="2">
        <v>0.0</v>
      </c>
      <c r="K1482" s="8" t="str">
        <f t="shared" si="1"/>
        <v>CALL InsertOrUpdateAtributosProductos ('','815','3','MEDIDAS','9,5 mm x 1,20 mts x 2,60 mts','2','0');</v>
      </c>
    </row>
    <row r="1483">
      <c r="A1483" s="23"/>
      <c r="B1483" s="9">
        <v>815.0</v>
      </c>
      <c r="C1483" s="2">
        <v>3.0</v>
      </c>
      <c r="D1483" s="2" t="s">
        <v>263</v>
      </c>
      <c r="E1483" s="7" t="s">
        <v>2796</v>
      </c>
      <c r="F1483" s="22"/>
      <c r="G1483" s="22"/>
      <c r="H1483" s="24">
        <v>3.0</v>
      </c>
      <c r="I1483" s="2">
        <v>0.0</v>
      </c>
      <c r="K1483" s="8" t="str">
        <f t="shared" si="1"/>
        <v>CALL InsertOrUpdateAtributosProductos ('','815','3','MEDIDAS','9,5 mm x 1,20 mts x 3 mts','3','0');</v>
      </c>
    </row>
    <row r="1484">
      <c r="A1484" s="23"/>
      <c r="B1484" s="9">
        <v>815.0</v>
      </c>
      <c r="C1484" s="2">
        <v>3.0</v>
      </c>
      <c r="D1484" s="2" t="s">
        <v>263</v>
      </c>
      <c r="E1484" s="7" t="s">
        <v>2797</v>
      </c>
      <c r="F1484" s="22"/>
      <c r="G1484" s="22"/>
      <c r="H1484" s="24">
        <v>4.0</v>
      </c>
      <c r="I1484" s="2">
        <v>0.0</v>
      </c>
      <c r="K1484" s="8" t="str">
        <f t="shared" si="1"/>
        <v>CALL InsertOrUpdateAtributosProductos ('','815','3','MEDIDAS','12,5 mm x 1,20 mts x 2 mts','4','0');</v>
      </c>
    </row>
    <row r="1485">
      <c r="A1485" s="23"/>
      <c r="B1485" s="9">
        <v>815.0</v>
      </c>
      <c r="C1485" s="2">
        <v>3.0</v>
      </c>
      <c r="D1485" s="2" t="s">
        <v>263</v>
      </c>
      <c r="E1485" s="7" t="s">
        <v>2798</v>
      </c>
      <c r="F1485" s="22"/>
      <c r="G1485" s="22"/>
      <c r="H1485" s="24">
        <v>5.0</v>
      </c>
      <c r="I1485" s="2">
        <v>0.0</v>
      </c>
      <c r="K1485" s="8" t="str">
        <f t="shared" si="1"/>
        <v>CALL InsertOrUpdateAtributosProductos ('','815','3','MEDIDAS','12,5 mm x 1,20 mts x 2,40 mts','5','0');</v>
      </c>
    </row>
    <row r="1486">
      <c r="A1486" s="23"/>
      <c r="B1486" s="9">
        <v>815.0</v>
      </c>
      <c r="C1486" s="2">
        <v>3.0</v>
      </c>
      <c r="D1486" s="2" t="s">
        <v>263</v>
      </c>
      <c r="E1486" s="7" t="s">
        <v>2799</v>
      </c>
      <c r="F1486" s="22"/>
      <c r="G1486" s="22"/>
      <c r="H1486" s="24">
        <v>6.0</v>
      </c>
      <c r="I1486" s="2">
        <v>0.0</v>
      </c>
      <c r="K1486" s="8" t="str">
        <f t="shared" si="1"/>
        <v>CALL InsertOrUpdateAtributosProductos ('','815','3','MEDIDAS','12,5 mm x 1,20 mts x 2,60 mts','6','0');</v>
      </c>
    </row>
    <row r="1487">
      <c r="A1487" s="23"/>
      <c r="B1487" s="9">
        <v>815.0</v>
      </c>
      <c r="C1487" s="2">
        <v>3.0</v>
      </c>
      <c r="D1487" s="2" t="s">
        <v>263</v>
      </c>
      <c r="E1487" s="7" t="s">
        <v>2800</v>
      </c>
      <c r="F1487" s="22"/>
      <c r="G1487" s="22"/>
      <c r="H1487" s="24">
        <v>7.0</v>
      </c>
      <c r="I1487" s="2">
        <v>0.0</v>
      </c>
      <c r="K1487" s="8" t="str">
        <f t="shared" si="1"/>
        <v>CALL InsertOrUpdateAtributosProductos ('','815','3','MEDIDAS','12,5 mm x 1,20 mts x 3 mts','7','0');</v>
      </c>
    </row>
    <row r="1488">
      <c r="A1488" s="23"/>
      <c r="B1488" s="9">
        <v>815.0</v>
      </c>
      <c r="C1488" s="2">
        <v>3.0</v>
      </c>
      <c r="D1488" s="2" t="s">
        <v>263</v>
      </c>
      <c r="E1488" s="7" t="s">
        <v>2801</v>
      </c>
      <c r="F1488" s="22"/>
      <c r="G1488" s="22"/>
      <c r="H1488" s="24">
        <v>8.0</v>
      </c>
      <c r="I1488" s="2">
        <v>0.0</v>
      </c>
      <c r="K1488" s="8" t="str">
        <f t="shared" si="1"/>
        <v>CALL InsertOrUpdateAtributosProductos ('','815','3','MEDIDAS','15 mm x 1,20 mts x 2,40 mts','8','0');</v>
      </c>
    </row>
    <row r="1489">
      <c r="A1489" s="23"/>
      <c r="B1489" s="9">
        <v>815.0</v>
      </c>
      <c r="C1489" s="2">
        <v>3.0</v>
      </c>
      <c r="D1489" s="2" t="s">
        <v>263</v>
      </c>
      <c r="E1489" s="7" t="s">
        <v>2802</v>
      </c>
      <c r="F1489" s="22"/>
      <c r="G1489" s="22"/>
      <c r="H1489" s="24">
        <v>9.0</v>
      </c>
      <c r="I1489" s="2">
        <v>0.0</v>
      </c>
      <c r="K1489" s="8" t="str">
        <f t="shared" si="1"/>
        <v>CALL InsertOrUpdateAtributosProductos ('','815','3','MEDIDAS','15 mm x 1,20 mts x 2,60 mts','9','0');</v>
      </c>
    </row>
    <row r="1490">
      <c r="A1490" s="23"/>
      <c r="B1490" s="9">
        <v>815.0</v>
      </c>
      <c r="C1490" s="2">
        <v>3.0</v>
      </c>
      <c r="D1490" s="2" t="s">
        <v>263</v>
      </c>
      <c r="E1490" s="7" t="s">
        <v>2803</v>
      </c>
      <c r="F1490" s="22"/>
      <c r="G1490" s="22"/>
      <c r="H1490" s="24">
        <v>10.0</v>
      </c>
      <c r="I1490" s="2">
        <v>0.0</v>
      </c>
      <c r="K1490" s="8" t="str">
        <f t="shared" si="1"/>
        <v>CALL InsertOrUpdateAtributosProductos ('','815','3','MEDIDAS','15 mm x 1,20 mts x 3 mts','10','0');</v>
      </c>
    </row>
    <row r="1491">
      <c r="A1491" s="23"/>
      <c r="B1491" s="23">
        <v>816.0</v>
      </c>
      <c r="C1491" s="2">
        <v>3.0</v>
      </c>
      <c r="D1491" s="2" t="s">
        <v>263</v>
      </c>
      <c r="E1491" s="7" t="s">
        <v>2798</v>
      </c>
      <c r="F1491" s="22"/>
      <c r="G1491" s="22"/>
      <c r="H1491" s="24">
        <v>1.0</v>
      </c>
      <c r="I1491" s="2">
        <v>0.0</v>
      </c>
      <c r="K1491" s="8" t="str">
        <f t="shared" si="1"/>
        <v>CALL InsertOrUpdateAtributosProductos ('','816','3','MEDIDAS','12,5 mm x 1,20 mts x 2,40 mts','1','0');</v>
      </c>
    </row>
    <row r="1492">
      <c r="A1492" s="23"/>
      <c r="B1492" s="23">
        <v>816.0</v>
      </c>
      <c r="C1492" s="2">
        <v>3.0</v>
      </c>
      <c r="D1492" s="2" t="s">
        <v>263</v>
      </c>
      <c r="E1492" s="7" t="s">
        <v>2799</v>
      </c>
      <c r="F1492" s="22"/>
      <c r="G1492" s="22"/>
      <c r="H1492" s="24">
        <v>2.0</v>
      </c>
      <c r="I1492" s="2">
        <v>0.0</v>
      </c>
      <c r="K1492" s="8" t="str">
        <f t="shared" si="1"/>
        <v>CALL InsertOrUpdateAtributosProductos ('','816','3','MEDIDAS','12,5 mm x 1,20 mts x 2,60 mts','2','0');</v>
      </c>
    </row>
    <row r="1493">
      <c r="A1493" s="23"/>
      <c r="B1493" s="23">
        <v>816.0</v>
      </c>
      <c r="C1493" s="2">
        <v>3.0</v>
      </c>
      <c r="D1493" s="2" t="s">
        <v>263</v>
      </c>
      <c r="E1493" s="7" t="s">
        <v>2800</v>
      </c>
      <c r="F1493" s="22"/>
      <c r="G1493" s="22"/>
      <c r="H1493" s="24">
        <v>3.0</v>
      </c>
      <c r="I1493" s="2">
        <v>0.0</v>
      </c>
      <c r="K1493" s="8" t="str">
        <f t="shared" si="1"/>
        <v>CALL InsertOrUpdateAtributosProductos ('','816','3','MEDIDAS','12,5 mm x 1,20 mts x 3 mts','3','0');</v>
      </c>
    </row>
    <row r="1494">
      <c r="A1494" s="23"/>
      <c r="B1494" s="23">
        <v>816.0</v>
      </c>
      <c r="C1494" s="2">
        <v>3.0</v>
      </c>
      <c r="D1494" s="2" t="s">
        <v>263</v>
      </c>
      <c r="E1494" s="7" t="s">
        <v>2801</v>
      </c>
      <c r="F1494" s="22"/>
      <c r="G1494" s="22"/>
      <c r="H1494" s="24">
        <v>4.0</v>
      </c>
      <c r="I1494" s="2">
        <v>0.0</v>
      </c>
      <c r="K1494" s="8" t="str">
        <f t="shared" si="1"/>
        <v>CALL InsertOrUpdateAtributosProductos ('','816','3','MEDIDAS','15 mm x 1,20 mts x 2,40 mts','4','0');</v>
      </c>
    </row>
    <row r="1495">
      <c r="A1495" s="23"/>
      <c r="B1495" s="23">
        <v>816.0</v>
      </c>
      <c r="C1495" s="2">
        <v>3.0</v>
      </c>
      <c r="D1495" s="2" t="s">
        <v>263</v>
      </c>
      <c r="E1495" s="7" t="s">
        <v>2802</v>
      </c>
      <c r="F1495" s="22"/>
      <c r="G1495" s="22"/>
      <c r="H1495" s="24">
        <v>5.0</v>
      </c>
      <c r="I1495" s="2">
        <v>0.0</v>
      </c>
      <c r="K1495" s="8" t="str">
        <f t="shared" si="1"/>
        <v>CALL InsertOrUpdateAtributosProductos ('','816','3','MEDIDAS','15 mm x 1,20 mts x 2,60 mts','5','0');</v>
      </c>
    </row>
    <row r="1496">
      <c r="A1496" s="23"/>
      <c r="B1496" s="23">
        <v>817.0</v>
      </c>
      <c r="C1496" s="2">
        <v>3.0</v>
      </c>
      <c r="D1496" s="2" t="s">
        <v>263</v>
      </c>
      <c r="E1496" s="7" t="s">
        <v>2798</v>
      </c>
      <c r="F1496" s="22"/>
      <c r="G1496" s="22"/>
      <c r="H1496" s="24">
        <v>1.0</v>
      </c>
      <c r="I1496" s="2">
        <v>0.0</v>
      </c>
      <c r="K1496" s="8" t="str">
        <f t="shared" si="1"/>
        <v>CALL InsertOrUpdateAtributosProductos ('','817','3','MEDIDAS','12,5 mm x 1,20 mts x 2,40 mts','1','0');</v>
      </c>
    </row>
    <row r="1497">
      <c r="A1497" s="23"/>
      <c r="B1497" s="23">
        <v>817.0</v>
      </c>
      <c r="C1497" s="2">
        <v>3.0</v>
      </c>
      <c r="D1497" s="2" t="s">
        <v>263</v>
      </c>
      <c r="E1497" s="7" t="s">
        <v>2799</v>
      </c>
      <c r="F1497" s="22"/>
      <c r="G1497" s="22"/>
      <c r="H1497" s="24">
        <v>2.0</v>
      </c>
      <c r="I1497" s="2">
        <v>0.0</v>
      </c>
      <c r="K1497" s="8" t="str">
        <f t="shared" si="1"/>
        <v>CALL InsertOrUpdateAtributosProductos ('','817','3','MEDIDAS','12,5 mm x 1,20 mts x 2,60 mts','2','0');</v>
      </c>
    </row>
    <row r="1498">
      <c r="A1498" s="23"/>
      <c r="B1498" s="23">
        <v>817.0</v>
      </c>
      <c r="C1498" s="2">
        <v>3.0</v>
      </c>
      <c r="D1498" s="2" t="s">
        <v>263</v>
      </c>
      <c r="E1498" s="7" t="s">
        <v>2800</v>
      </c>
      <c r="F1498" s="22"/>
      <c r="G1498" s="22"/>
      <c r="H1498" s="24">
        <v>3.0</v>
      </c>
      <c r="I1498" s="2">
        <v>0.0</v>
      </c>
      <c r="K1498" s="8" t="str">
        <f t="shared" si="1"/>
        <v>CALL InsertOrUpdateAtributosProductos ('','817','3','MEDIDAS','12,5 mm x 1,20 mts x 3 mts','3','0');</v>
      </c>
    </row>
    <row r="1499">
      <c r="A1499" s="23"/>
      <c r="B1499" s="23">
        <v>817.0</v>
      </c>
      <c r="C1499" s="2">
        <v>3.0</v>
      </c>
      <c r="D1499" s="2" t="s">
        <v>263</v>
      </c>
      <c r="E1499" s="7" t="s">
        <v>2801</v>
      </c>
      <c r="F1499" s="22"/>
      <c r="G1499" s="22"/>
      <c r="H1499" s="24">
        <v>4.0</v>
      </c>
      <c r="I1499" s="2">
        <v>0.0</v>
      </c>
      <c r="K1499" s="8" t="str">
        <f t="shared" si="1"/>
        <v>CALL InsertOrUpdateAtributosProductos ('','817','3','MEDIDAS','15 mm x 1,20 mts x 2,40 mts','4','0');</v>
      </c>
    </row>
    <row r="1500">
      <c r="A1500" s="23"/>
      <c r="B1500" s="23">
        <v>817.0</v>
      </c>
      <c r="C1500" s="2">
        <v>3.0</v>
      </c>
      <c r="D1500" s="2" t="s">
        <v>263</v>
      </c>
      <c r="E1500" s="7" t="s">
        <v>2802</v>
      </c>
      <c r="F1500" s="22"/>
      <c r="G1500" s="22"/>
      <c r="H1500" s="24">
        <v>5.0</v>
      </c>
      <c r="I1500" s="2">
        <v>0.0</v>
      </c>
      <c r="K1500" s="8" t="str">
        <f t="shared" si="1"/>
        <v>CALL InsertOrUpdateAtributosProductos ('','817','3','MEDIDAS','15 mm x 1,20 mts x 2,60 mts','5','0');</v>
      </c>
    </row>
    <row r="1501" ht="14.25" customHeight="1">
      <c r="A1501" s="23"/>
      <c r="B1501" s="23">
        <v>817.0</v>
      </c>
      <c r="C1501" s="2">
        <v>3.0</v>
      </c>
      <c r="D1501" s="2" t="s">
        <v>263</v>
      </c>
      <c r="E1501" s="7" t="s">
        <v>2803</v>
      </c>
      <c r="F1501" s="22"/>
      <c r="G1501" s="22"/>
      <c r="H1501" s="24">
        <v>6.0</v>
      </c>
      <c r="I1501" s="2">
        <v>0.0</v>
      </c>
      <c r="K1501" s="8" t="str">
        <f t="shared" si="1"/>
        <v>CALL InsertOrUpdateAtributosProductos ('','817','3','MEDIDAS','15 mm x 1,20 mts x 3 mts','6','0');</v>
      </c>
    </row>
    <row r="1502" ht="14.25" customHeight="1">
      <c r="A1502" s="23"/>
      <c r="B1502" s="23">
        <v>818.0</v>
      </c>
      <c r="C1502" s="2">
        <v>3.0</v>
      </c>
      <c r="D1502" s="2" t="s">
        <v>263</v>
      </c>
      <c r="E1502" s="7" t="s">
        <v>2804</v>
      </c>
      <c r="F1502" s="22"/>
      <c r="G1502" s="22"/>
      <c r="H1502" s="24">
        <v>1.0</v>
      </c>
      <c r="I1502" s="2">
        <v>0.0</v>
      </c>
      <c r="K1502" s="8" t="str">
        <f t="shared" si="1"/>
        <v>CALL InsertOrUpdateAtributosProductos ('','818','3','MEDIDAS','8 mm x 1,20 mts x 2,40 mts','1','0');</v>
      </c>
    </row>
    <row r="1503" ht="14.25" customHeight="1">
      <c r="A1503" s="23"/>
      <c r="B1503" s="23">
        <v>818.0</v>
      </c>
      <c r="C1503" s="2">
        <v>3.0</v>
      </c>
      <c r="D1503" s="2" t="s">
        <v>263</v>
      </c>
      <c r="E1503" s="7" t="s">
        <v>2805</v>
      </c>
      <c r="F1503" s="22"/>
      <c r="G1503" s="22"/>
      <c r="H1503" s="24">
        <v>2.0</v>
      </c>
      <c r="I1503" s="2">
        <v>0.0</v>
      </c>
      <c r="K1503" s="8" t="str">
        <f t="shared" si="1"/>
        <v>CALL InsertOrUpdateAtributosProductos ('','818','3','MEDIDAS','10 mm x 1,20 mts x 2,40 mts','2','0');</v>
      </c>
    </row>
    <row r="1504" ht="14.25" customHeight="1">
      <c r="A1504" s="23"/>
      <c r="B1504" s="23">
        <v>818.0</v>
      </c>
      <c r="C1504" s="2">
        <v>3.0</v>
      </c>
      <c r="D1504" s="2" t="s">
        <v>263</v>
      </c>
      <c r="E1504" s="7" t="s">
        <v>2798</v>
      </c>
      <c r="F1504" s="22"/>
      <c r="G1504" s="22"/>
      <c r="H1504" s="24">
        <v>3.0</v>
      </c>
      <c r="I1504" s="2">
        <v>0.0</v>
      </c>
      <c r="K1504" s="8" t="str">
        <f t="shared" si="1"/>
        <v>CALL InsertOrUpdateAtributosProductos ('','818','3','MEDIDAS','12,5 mm x 1,20 mts x 2,40 mts','3','0');</v>
      </c>
    </row>
    <row r="1505">
      <c r="A1505" s="23"/>
      <c r="B1505" s="23">
        <v>819.0</v>
      </c>
      <c r="C1505" s="24">
        <v>3.0</v>
      </c>
      <c r="D1505" s="2" t="s">
        <v>263</v>
      </c>
      <c r="E1505" s="7" t="s">
        <v>2806</v>
      </c>
      <c r="F1505" s="22"/>
      <c r="G1505" s="22"/>
      <c r="H1505" s="24">
        <v>1.0</v>
      </c>
      <c r="I1505" s="24">
        <v>0.0</v>
      </c>
      <c r="K1505" s="8" t="str">
        <f t="shared" si="1"/>
        <v>CALL InsertOrUpdateAtributosProductos ('','819','3','MEDIDAS','35 mm x 28 mm x 2,60 mts','1','0');</v>
      </c>
    </row>
    <row r="1506">
      <c r="A1506" s="23"/>
      <c r="B1506" s="23">
        <v>819.0</v>
      </c>
      <c r="C1506" s="24">
        <v>3.0</v>
      </c>
      <c r="D1506" s="2" t="s">
        <v>263</v>
      </c>
      <c r="E1506" s="7" t="s">
        <v>2807</v>
      </c>
      <c r="F1506" s="22"/>
      <c r="G1506" s="22"/>
      <c r="H1506" s="24">
        <v>2.0</v>
      </c>
      <c r="I1506" s="24">
        <v>0.0</v>
      </c>
      <c r="K1506" s="8" t="str">
        <f t="shared" si="1"/>
        <v>CALL InsertOrUpdateAtributosProductos ('','819','3','MEDIDAS','70 mm x 28 mm x 2,60 mts','2','0');</v>
      </c>
    </row>
    <row r="1507">
      <c r="A1507" s="23"/>
      <c r="B1507" s="23">
        <v>819.0</v>
      </c>
      <c r="C1507" s="24">
        <v>3.0</v>
      </c>
      <c r="D1507" s="2" t="s">
        <v>263</v>
      </c>
      <c r="E1507" s="7" t="s">
        <v>2808</v>
      </c>
      <c r="F1507" s="22"/>
      <c r="G1507" s="22"/>
      <c r="H1507" s="24">
        <v>3.0</v>
      </c>
      <c r="I1507" s="2">
        <v>0.0</v>
      </c>
      <c r="K1507" s="8" t="str">
        <f t="shared" si="1"/>
        <v>CALL InsertOrUpdateAtributosProductos ('','819','3','MEDIDAS','100 mm x 28 mm x 2,60 mts','3','0');</v>
      </c>
    </row>
    <row r="1508">
      <c r="A1508" s="23"/>
      <c r="B1508" s="23">
        <v>820.0</v>
      </c>
      <c r="C1508" s="24">
        <v>3.0</v>
      </c>
      <c r="D1508" s="2" t="s">
        <v>263</v>
      </c>
      <c r="E1508" s="7" t="s">
        <v>2809</v>
      </c>
      <c r="F1508" s="22"/>
      <c r="G1508" s="22"/>
      <c r="H1508" s="24">
        <v>1.0</v>
      </c>
      <c r="I1508" s="24">
        <v>0.0</v>
      </c>
      <c r="K1508" s="8" t="str">
        <f t="shared" si="1"/>
        <v>CALL InsertOrUpdateAtributosProductos ('','820','3','MEDIDAS','34 mm x 35 mm x 30 mm','1','0');</v>
      </c>
    </row>
    <row r="1509">
      <c r="A1509" s="23"/>
      <c r="B1509" s="23">
        <v>820.0</v>
      </c>
      <c r="C1509" s="24">
        <v>3.0</v>
      </c>
      <c r="D1509" s="2" t="s">
        <v>263</v>
      </c>
      <c r="E1509" s="7" t="s">
        <v>2810</v>
      </c>
      <c r="F1509" s="22"/>
      <c r="G1509" s="22"/>
      <c r="H1509" s="24">
        <v>2.0</v>
      </c>
      <c r="I1509" s="24">
        <v>0.0</v>
      </c>
      <c r="K1509" s="8" t="str">
        <f t="shared" si="1"/>
        <v>CALL InsertOrUpdateAtributosProductos ('','820','3','MEDIDAS','69 mm x 35 mm x 30 mm','2','0');</v>
      </c>
    </row>
    <row r="1510">
      <c r="A1510" s="23"/>
      <c r="B1510" s="23">
        <v>820.0</v>
      </c>
      <c r="C1510" s="24">
        <v>3.0</v>
      </c>
      <c r="D1510" s="2" t="s">
        <v>263</v>
      </c>
      <c r="E1510" s="7" t="s">
        <v>2811</v>
      </c>
      <c r="F1510" s="22"/>
      <c r="G1510" s="22"/>
      <c r="H1510" s="24">
        <v>3.0</v>
      </c>
      <c r="I1510" s="24">
        <v>0.0</v>
      </c>
      <c r="K1510" s="8" t="str">
        <f t="shared" si="1"/>
        <v>CALL InsertOrUpdateAtributosProductos ('','820','3','MEDIDAS','99 mm x 35 mm x 30 mm','3','0');</v>
      </c>
    </row>
    <row r="1511">
      <c r="A1511" s="23"/>
      <c r="B1511" s="23">
        <v>821.0</v>
      </c>
      <c r="C1511" s="24">
        <v>3.0</v>
      </c>
      <c r="D1511" s="2" t="s">
        <v>263</v>
      </c>
      <c r="E1511" s="7" t="s">
        <v>2812</v>
      </c>
      <c r="F1511" s="22"/>
      <c r="G1511" s="22"/>
      <c r="H1511" s="24">
        <v>1.0</v>
      </c>
      <c r="I1511" s="24">
        <v>0.0</v>
      </c>
      <c r="K1511" s="8" t="str">
        <f t="shared" si="1"/>
        <v>CALL InsertOrUpdateAtributosProductos ('','821','3','MEDIDAS','10 mm x 12,5 mm x 30 mm','1','0');</v>
      </c>
    </row>
    <row r="1512">
      <c r="A1512" s="23"/>
      <c r="B1512" s="23">
        <v>821.0</v>
      </c>
      <c r="C1512" s="24">
        <v>3.0</v>
      </c>
      <c r="D1512" s="2" t="s">
        <v>263</v>
      </c>
      <c r="E1512" s="7" t="s">
        <v>2813</v>
      </c>
      <c r="F1512" s="22"/>
      <c r="G1512" s="22"/>
      <c r="H1512" s="24">
        <v>2.0</v>
      </c>
      <c r="I1512" s="24">
        <v>0.0</v>
      </c>
      <c r="K1512" s="8" t="str">
        <f t="shared" si="1"/>
        <v>CALL InsertOrUpdateAtributosProductos ('','821','3','MEDIDAS','10 mm x 13 mm x 35 mm','2','0');</v>
      </c>
    </row>
    <row r="1513">
      <c r="A1513" s="23"/>
      <c r="B1513" s="23">
        <v>822.0</v>
      </c>
      <c r="C1513" s="24">
        <v>3.0</v>
      </c>
      <c r="D1513" s="2" t="s">
        <v>263</v>
      </c>
      <c r="E1513" s="7" t="s">
        <v>2814</v>
      </c>
      <c r="F1513" s="22"/>
      <c r="G1513" s="22"/>
      <c r="H1513" s="24">
        <v>1.0</v>
      </c>
      <c r="I1513" s="24">
        <v>0.0</v>
      </c>
      <c r="K1513" s="8" t="str">
        <f t="shared" si="1"/>
        <v>CALL InsertOrUpdateAtributosProductos ('','822','3','MEDIDAS','31 mm x 31 mm x 2,60 mts','1','0');</v>
      </c>
    </row>
    <row r="1514">
      <c r="A1514" s="23"/>
      <c r="B1514" s="23">
        <v>823.0</v>
      </c>
      <c r="C1514" s="24">
        <v>3.0</v>
      </c>
      <c r="D1514" s="2" t="s">
        <v>263</v>
      </c>
      <c r="E1514" s="7" t="s">
        <v>2815</v>
      </c>
      <c r="F1514" s="22"/>
      <c r="G1514" s="22"/>
      <c r="H1514" s="24">
        <v>1.0</v>
      </c>
      <c r="I1514" s="24">
        <v>0.0</v>
      </c>
      <c r="K1514" s="8" t="str">
        <f t="shared" si="1"/>
        <v>CALL InsertOrUpdateAtributosProductos ('','823','3','MEDIDAS','20 mm x 25 mm x 2,60 mts','1','0');</v>
      </c>
    </row>
    <row r="1515">
      <c r="A1515" s="23"/>
      <c r="B1515" s="23">
        <v>823.0</v>
      </c>
      <c r="C1515" s="24">
        <v>3.0</v>
      </c>
      <c r="D1515" s="2" t="s">
        <v>263</v>
      </c>
      <c r="E1515" s="7" t="s">
        <v>2816</v>
      </c>
      <c r="F1515" s="22"/>
      <c r="G1515" s="22"/>
      <c r="H1515" s="24">
        <v>2.0</v>
      </c>
      <c r="I1515" s="24">
        <v>0.0</v>
      </c>
      <c r="K1515" s="8" t="str">
        <f t="shared" si="1"/>
        <v>CALL InsertOrUpdateAtributosProductos ('','823','3','MEDIDAS','20 mm x 25 mm x 3 mts','2','0');</v>
      </c>
    </row>
    <row r="1516">
      <c r="A1516" s="23"/>
      <c r="B1516" s="23">
        <v>824.0</v>
      </c>
      <c r="C1516" s="24">
        <v>3.0</v>
      </c>
      <c r="D1516" s="2" t="s">
        <v>263</v>
      </c>
      <c r="E1516" s="7" t="s">
        <v>2817</v>
      </c>
      <c r="F1516" s="22"/>
      <c r="G1516" s="22"/>
      <c r="H1516" s="24">
        <v>1.0</v>
      </c>
      <c r="I1516" s="24">
        <v>0.0</v>
      </c>
      <c r="K1516" s="8" t="str">
        <f t="shared" si="1"/>
        <v>CALL InsertOrUpdateAtributosProductos ('','824','3','MEDIDAS','1/2" (4mm x 13mm)','1','0');</v>
      </c>
    </row>
    <row r="1517">
      <c r="A1517" s="23"/>
      <c r="B1517" s="23">
        <v>824.0</v>
      </c>
      <c r="C1517" s="24">
        <v>3.0</v>
      </c>
      <c r="D1517" s="2" t="s">
        <v>263</v>
      </c>
      <c r="E1517" s="7" t="s">
        <v>2818</v>
      </c>
      <c r="F1517" s="22"/>
      <c r="G1517" s="22"/>
      <c r="H1517" s="24">
        <v>2.0</v>
      </c>
      <c r="I1517" s="24">
        <v>0.0</v>
      </c>
      <c r="K1517" s="8" t="str">
        <f t="shared" si="1"/>
        <v>CALL InsertOrUpdateAtributosProductos ('','824','3','MEDIDAS','3/4" (4mm x 19mm)','2','0');</v>
      </c>
    </row>
    <row r="1518">
      <c r="A1518" s="23"/>
      <c r="B1518" s="23">
        <v>824.0</v>
      </c>
      <c r="C1518" s="24">
        <v>3.0</v>
      </c>
      <c r="D1518" s="2" t="s">
        <v>263</v>
      </c>
      <c r="E1518" s="7" t="s">
        <v>2819</v>
      </c>
      <c r="F1518" s="22"/>
      <c r="G1518" s="22"/>
      <c r="H1518" s="24">
        <v>3.0</v>
      </c>
      <c r="I1518" s="24">
        <v>0.0</v>
      </c>
      <c r="K1518" s="8" t="str">
        <f t="shared" si="1"/>
        <v>CALL InsertOrUpdateAtributosProductos ('','824','3','MEDIDAS','1" (4mm x 25mm)','3','0');</v>
      </c>
    </row>
    <row r="1519">
      <c r="A1519" s="23"/>
      <c r="B1519" s="23">
        <v>825.0</v>
      </c>
      <c r="C1519" s="24">
        <v>3.0</v>
      </c>
      <c r="D1519" s="2" t="s">
        <v>263</v>
      </c>
      <c r="E1519" s="7" t="s">
        <v>2817</v>
      </c>
      <c r="F1519" s="22"/>
      <c r="G1519" s="22"/>
      <c r="H1519" s="24">
        <v>1.0</v>
      </c>
      <c r="I1519" s="24">
        <v>0.0</v>
      </c>
      <c r="K1519" s="8" t="str">
        <f t="shared" si="1"/>
        <v>CALL InsertOrUpdateAtributosProductos ('','825','3','MEDIDAS','1/2" (4mm x 13mm)','1','0');</v>
      </c>
    </row>
    <row r="1520">
      <c r="A1520" s="23"/>
      <c r="B1520" s="23">
        <v>825.0</v>
      </c>
      <c r="C1520" s="24">
        <v>3.0</v>
      </c>
      <c r="D1520" s="2" t="s">
        <v>263</v>
      </c>
      <c r="E1520" s="7" t="s">
        <v>2818</v>
      </c>
      <c r="F1520" s="22"/>
      <c r="G1520" s="22"/>
      <c r="H1520" s="24">
        <v>2.0</v>
      </c>
      <c r="I1520" s="24">
        <v>0.0</v>
      </c>
      <c r="K1520" s="8" t="str">
        <f t="shared" si="1"/>
        <v>CALL InsertOrUpdateAtributosProductos ('','825','3','MEDIDAS','3/4" (4mm x 19mm)','2','0');</v>
      </c>
    </row>
    <row r="1521">
      <c r="A1521" s="23"/>
      <c r="B1521" s="23">
        <v>825.0</v>
      </c>
      <c r="C1521" s="24">
        <v>3.0</v>
      </c>
      <c r="D1521" s="2" t="s">
        <v>263</v>
      </c>
      <c r="E1521" s="7" t="s">
        <v>2819</v>
      </c>
      <c r="F1521" s="22"/>
      <c r="G1521" s="22"/>
      <c r="H1521" s="24">
        <v>3.0</v>
      </c>
      <c r="I1521" s="24">
        <v>0.0</v>
      </c>
      <c r="K1521" s="8" t="str">
        <f t="shared" si="1"/>
        <v>CALL InsertOrUpdateAtributosProductos ('','825','3','MEDIDAS','1" (4mm x 25mm)','3','0');</v>
      </c>
    </row>
    <row r="1522">
      <c r="A1522" s="23"/>
      <c r="B1522" s="23">
        <v>826.0</v>
      </c>
      <c r="C1522" s="24">
        <v>3.0</v>
      </c>
      <c r="D1522" s="2" t="s">
        <v>263</v>
      </c>
      <c r="E1522" s="7" t="s">
        <v>2820</v>
      </c>
      <c r="F1522" s="22"/>
      <c r="G1522" s="22"/>
      <c r="H1522" s="24">
        <v>1.0</v>
      </c>
      <c r="I1522" s="24">
        <v>0.0</v>
      </c>
      <c r="K1522" s="8" t="str">
        <f t="shared" si="1"/>
        <v>CALL InsertOrUpdateAtributosProductos ('','826','3','MEDIDAS','3/4" (3,5mm x 19mm)','1','0');</v>
      </c>
    </row>
    <row r="1523">
      <c r="A1523" s="23"/>
      <c r="B1523" s="23">
        <v>826.0</v>
      </c>
      <c r="C1523" s="24">
        <v>3.0</v>
      </c>
      <c r="D1523" s="2" t="s">
        <v>263</v>
      </c>
      <c r="E1523" s="7" t="s">
        <v>2821</v>
      </c>
      <c r="F1523" s="22"/>
      <c r="G1523" s="22"/>
      <c r="H1523" s="24">
        <v>2.0</v>
      </c>
      <c r="I1523" s="24">
        <v>0.0</v>
      </c>
      <c r="K1523" s="8" t="str">
        <f t="shared" si="1"/>
        <v>CALL InsertOrUpdateAtributosProductos ('','826','3','MEDIDAS','1" (3,5mm x 25mm)','2','0');</v>
      </c>
    </row>
    <row r="1524">
      <c r="A1524" s="23"/>
      <c r="B1524" s="23">
        <v>826.0</v>
      </c>
      <c r="C1524" s="24">
        <v>3.0</v>
      </c>
      <c r="D1524" s="2" t="s">
        <v>263</v>
      </c>
      <c r="E1524" s="7" t="s">
        <v>2822</v>
      </c>
      <c r="F1524" s="22"/>
      <c r="G1524" s="22"/>
      <c r="H1524" s="24">
        <v>3.0</v>
      </c>
      <c r="I1524" s="24">
        <v>0.0</v>
      </c>
      <c r="K1524" s="8" t="str">
        <f t="shared" si="1"/>
        <v>CALL InsertOrUpdateAtributosProductos ('','826','3','MEDIDAS','1 1/8" (3,5mm x 28,5mm)','3','0');</v>
      </c>
    </row>
    <row r="1525">
      <c r="A1525" s="23"/>
      <c r="B1525" s="23">
        <v>826.0</v>
      </c>
      <c r="C1525" s="24">
        <v>3.0</v>
      </c>
      <c r="D1525" s="2" t="s">
        <v>263</v>
      </c>
      <c r="E1525" s="7" t="s">
        <v>2823</v>
      </c>
      <c r="F1525" s="22"/>
      <c r="G1525" s="22"/>
      <c r="H1525" s="24">
        <v>4.0</v>
      </c>
      <c r="I1525" s="24">
        <v>0.0</v>
      </c>
      <c r="K1525" s="8" t="str">
        <f t="shared" si="1"/>
        <v>CALL InsertOrUpdateAtributosProductos ('','826','3','MEDIDAS','1 1/2" (3,5mm x 38mm)','4','0');</v>
      </c>
    </row>
    <row r="1526">
      <c r="A1526" s="23"/>
      <c r="B1526" s="23">
        <v>827.0</v>
      </c>
      <c r="C1526" s="24">
        <v>3.0</v>
      </c>
      <c r="D1526" s="2" t="s">
        <v>263</v>
      </c>
      <c r="E1526" s="7" t="s">
        <v>2820</v>
      </c>
      <c r="F1526" s="22"/>
      <c r="G1526" s="22"/>
      <c r="H1526" s="24">
        <v>1.0</v>
      </c>
      <c r="I1526" s="24">
        <v>0.0</v>
      </c>
      <c r="K1526" s="8" t="str">
        <f t="shared" si="1"/>
        <v>CALL InsertOrUpdateAtributosProductos ('','827','3','MEDIDAS','3/4" (3,5mm x 19mm)','1','0');</v>
      </c>
    </row>
    <row r="1527">
      <c r="A1527" s="23"/>
      <c r="B1527" s="23">
        <v>827.0</v>
      </c>
      <c r="C1527" s="24">
        <v>3.0</v>
      </c>
      <c r="D1527" s="2" t="s">
        <v>263</v>
      </c>
      <c r="E1527" s="7" t="s">
        <v>2821</v>
      </c>
      <c r="F1527" s="22"/>
      <c r="G1527" s="22"/>
      <c r="H1527" s="24">
        <v>2.0</v>
      </c>
      <c r="I1527" s="2">
        <v>0.0</v>
      </c>
      <c r="K1527" s="8" t="str">
        <f t="shared" si="1"/>
        <v>CALL InsertOrUpdateAtributosProductos ('','827','3','MEDIDAS','1" (3,5mm x 25mm)','2','0');</v>
      </c>
    </row>
    <row r="1528">
      <c r="A1528" s="23"/>
      <c r="B1528" s="23">
        <v>827.0</v>
      </c>
      <c r="C1528" s="24">
        <v>3.0</v>
      </c>
      <c r="D1528" s="2" t="s">
        <v>263</v>
      </c>
      <c r="E1528" s="7" t="s">
        <v>2822</v>
      </c>
      <c r="F1528" s="22"/>
      <c r="G1528" s="22"/>
      <c r="H1528" s="24">
        <v>3.0</v>
      </c>
      <c r="I1528" s="24">
        <v>0.0</v>
      </c>
      <c r="K1528" s="8" t="str">
        <f t="shared" si="1"/>
        <v>CALL InsertOrUpdateAtributosProductos ('','827','3','MEDIDAS','1 1/8" (3,5mm x 28,5mm)','3','0');</v>
      </c>
    </row>
    <row r="1529">
      <c r="A1529" s="23"/>
      <c r="B1529" s="23">
        <v>827.0</v>
      </c>
      <c r="C1529" s="24">
        <v>3.0</v>
      </c>
      <c r="D1529" s="2" t="s">
        <v>263</v>
      </c>
      <c r="E1529" s="7" t="s">
        <v>2823</v>
      </c>
      <c r="F1529" s="22"/>
      <c r="G1529" s="22"/>
      <c r="H1529" s="24">
        <v>4.0</v>
      </c>
      <c r="I1529" s="24">
        <v>0.0</v>
      </c>
      <c r="K1529" s="8" t="str">
        <f t="shared" si="1"/>
        <v>CALL InsertOrUpdateAtributosProductos ('','827','3','MEDIDAS','1 1/2" (3,5mm x 38mm)','4','0');</v>
      </c>
    </row>
    <row r="1530">
      <c r="A1530" s="23"/>
      <c r="B1530" s="23">
        <v>828.0</v>
      </c>
      <c r="C1530" s="24">
        <v>3.0</v>
      </c>
      <c r="D1530" s="2" t="s">
        <v>263</v>
      </c>
      <c r="E1530" s="7" t="s">
        <v>2271</v>
      </c>
      <c r="F1530" s="22"/>
      <c r="G1530" s="22"/>
      <c r="H1530" s="24">
        <v>1.0</v>
      </c>
      <c r="I1530" s="24">
        <v>0.0</v>
      </c>
      <c r="K1530" s="8" t="str">
        <f t="shared" si="1"/>
        <v>CALL InsertOrUpdateAtributosProductos ('','828','3','MEDIDAS','N° 6','1','0');</v>
      </c>
    </row>
    <row r="1531">
      <c r="A1531" s="23"/>
      <c r="B1531" s="23">
        <v>828.0</v>
      </c>
      <c r="C1531" s="24">
        <v>3.0</v>
      </c>
      <c r="D1531" s="2" t="s">
        <v>263</v>
      </c>
      <c r="E1531" s="7" t="s">
        <v>2273</v>
      </c>
      <c r="F1531" s="22"/>
      <c r="G1531" s="22"/>
      <c r="H1531" s="24">
        <v>2.0</v>
      </c>
      <c r="I1531" s="24">
        <v>0.0</v>
      </c>
      <c r="K1531" s="8" t="str">
        <f t="shared" si="1"/>
        <v>CALL InsertOrUpdateAtributosProductos ('','828','3','MEDIDAS','N° 8','2','0');</v>
      </c>
    </row>
    <row r="1532">
      <c r="A1532" s="23"/>
      <c r="B1532" s="23">
        <v>829.0</v>
      </c>
      <c r="C1532" s="24">
        <v>3.0</v>
      </c>
      <c r="D1532" s="2" t="s">
        <v>263</v>
      </c>
      <c r="E1532" s="7" t="s">
        <v>2824</v>
      </c>
      <c r="F1532" s="22"/>
      <c r="G1532" s="22"/>
      <c r="H1532" s="24">
        <v>1.0</v>
      </c>
      <c r="I1532" s="24">
        <v>0.0</v>
      </c>
      <c r="K1532" s="8" t="str">
        <f t="shared" si="1"/>
        <v>CALL InsertOrUpdateAtributosProductos ('','829','3','MEDIDAS','N° 8 S-10 mm','1','0');</v>
      </c>
    </row>
    <row r="1533">
      <c r="A1533" s="23"/>
      <c r="B1533" s="23">
        <v>829.0</v>
      </c>
      <c r="C1533" s="24">
        <v>3.0</v>
      </c>
      <c r="D1533" s="2" t="s">
        <v>263</v>
      </c>
      <c r="E1533" s="7" t="s">
        <v>2825</v>
      </c>
      <c r="F1533" s="22"/>
      <c r="G1533" s="22"/>
      <c r="H1533" s="24">
        <v>2.0</v>
      </c>
      <c r="I1533" s="24">
        <v>0.0</v>
      </c>
      <c r="K1533" s="8" t="str">
        <f t="shared" si="1"/>
        <v>CALL InsertOrUpdateAtributosProductos ('','829','3','MEDIDAS','N° 8 M-20 mm','2','0');</v>
      </c>
    </row>
    <row r="1534">
      <c r="A1534" s="23"/>
      <c r="B1534" s="23">
        <v>829.0</v>
      </c>
      <c r="C1534" s="24">
        <v>3.0</v>
      </c>
      <c r="D1534" s="2" t="s">
        <v>263</v>
      </c>
      <c r="E1534" s="7" t="s">
        <v>2826</v>
      </c>
      <c r="F1534" s="22"/>
      <c r="G1534" s="22"/>
      <c r="H1534" s="24">
        <v>3.0</v>
      </c>
      <c r="I1534" s="24">
        <v>0.0</v>
      </c>
      <c r="K1534" s="8" t="str">
        <f t="shared" si="1"/>
        <v>CALL InsertOrUpdateAtributosProductos ('','829','3','MEDIDAS','N° 8 L-30 mm','3','0');</v>
      </c>
    </row>
    <row r="1535">
      <c r="A1535" s="23"/>
      <c r="B1535" s="23">
        <v>830.0</v>
      </c>
      <c r="C1535" s="24">
        <v>3.0</v>
      </c>
      <c r="D1535" s="2" t="s">
        <v>263</v>
      </c>
      <c r="E1535" s="25" t="s">
        <v>2827</v>
      </c>
      <c r="F1535" s="22"/>
      <c r="G1535" s="22"/>
      <c r="H1535" s="24">
        <v>1.0</v>
      </c>
      <c r="I1535" s="24">
        <v>0.0</v>
      </c>
      <c r="K1535" s="8" t="str">
        <f t="shared" si="1"/>
        <v>CALL InsertOrUpdateAtributosProductos ('','830','3','MEDIDAS','50mm x 23mts','1','0');</v>
      </c>
    </row>
    <row r="1536">
      <c r="A1536" s="23"/>
      <c r="B1536" s="23">
        <v>830.0</v>
      </c>
      <c r="C1536" s="24">
        <v>3.0</v>
      </c>
      <c r="D1536" s="2" t="s">
        <v>263</v>
      </c>
      <c r="E1536" s="25" t="s">
        <v>2828</v>
      </c>
      <c r="F1536" s="22"/>
      <c r="G1536" s="22"/>
      <c r="H1536" s="24">
        <v>2.0</v>
      </c>
      <c r="I1536" s="24">
        <v>0.0</v>
      </c>
      <c r="K1536" s="8" t="str">
        <f t="shared" si="1"/>
        <v>CALL InsertOrUpdateAtributosProductos ('','830','3','MEDIDAS','50mm x 35mts','2','0');</v>
      </c>
    </row>
    <row r="1537">
      <c r="A1537" s="23"/>
      <c r="B1537" s="23">
        <v>830.0</v>
      </c>
      <c r="C1537" s="24">
        <v>3.0</v>
      </c>
      <c r="D1537" s="2" t="s">
        <v>263</v>
      </c>
      <c r="E1537" s="25" t="s">
        <v>2829</v>
      </c>
      <c r="F1537" s="22"/>
      <c r="G1537" s="22"/>
      <c r="H1537" s="24">
        <v>3.0</v>
      </c>
      <c r="I1537" s="24">
        <v>0.0</v>
      </c>
      <c r="K1537" s="8" t="str">
        <f t="shared" si="1"/>
        <v>CALL InsertOrUpdateAtributosProductos ('','830','3','MEDIDAS','50mm x 75mts','3','0');</v>
      </c>
    </row>
    <row r="1538">
      <c r="A1538" s="23"/>
      <c r="B1538" s="23">
        <v>830.0</v>
      </c>
      <c r="C1538" s="24">
        <v>3.0</v>
      </c>
      <c r="D1538" s="2" t="s">
        <v>263</v>
      </c>
      <c r="E1538" s="25" t="s">
        <v>2830</v>
      </c>
      <c r="F1538" s="22"/>
      <c r="G1538" s="22"/>
      <c r="H1538" s="24">
        <v>4.0</v>
      </c>
      <c r="I1538" s="24">
        <v>0.0</v>
      </c>
      <c r="K1538" s="8" t="str">
        <f t="shared" si="1"/>
        <v>CALL InsertOrUpdateAtributosProductos ('','830','3','MEDIDAS','52mm x 76mts','4','0');</v>
      </c>
    </row>
    <row r="1539">
      <c r="A1539" s="23"/>
      <c r="B1539" s="23">
        <v>830.0</v>
      </c>
      <c r="C1539" s="24">
        <v>3.0</v>
      </c>
      <c r="D1539" s="2" t="s">
        <v>263</v>
      </c>
      <c r="E1539" s="25" t="s">
        <v>2831</v>
      </c>
      <c r="F1539" s="22"/>
      <c r="G1539" s="22"/>
      <c r="H1539" s="24">
        <v>5.0</v>
      </c>
      <c r="I1539" s="24">
        <v>0.0</v>
      </c>
      <c r="K1539" s="8" t="str">
        <f t="shared" si="1"/>
        <v>CALL InsertOrUpdateAtributosProductos ('','830','3','MEDIDAS','52mm x 80mts','5','0');</v>
      </c>
    </row>
    <row r="1540">
      <c r="A1540" s="23"/>
      <c r="B1540" s="23">
        <v>830.0</v>
      </c>
      <c r="C1540" s="24">
        <v>3.0</v>
      </c>
      <c r="D1540" s="2" t="s">
        <v>263</v>
      </c>
      <c r="E1540" s="25" t="s">
        <v>2832</v>
      </c>
      <c r="F1540" s="22"/>
      <c r="G1540" s="22"/>
      <c r="H1540" s="24">
        <v>6.0</v>
      </c>
      <c r="I1540" s="24">
        <v>0.0</v>
      </c>
      <c r="K1540" s="8" t="str">
        <f t="shared" si="1"/>
        <v>CALL InsertOrUpdateAtributosProductos ('','830','3','MEDIDAS','52mm x 120mts','6','0');</v>
      </c>
    </row>
    <row r="1541">
      <c r="A1541" s="23"/>
      <c r="B1541" s="23">
        <v>831.0</v>
      </c>
      <c r="C1541" s="24">
        <v>3.0</v>
      </c>
      <c r="D1541" s="2" t="s">
        <v>263</v>
      </c>
      <c r="E1541" s="25" t="s">
        <v>2833</v>
      </c>
      <c r="F1541" s="22"/>
      <c r="G1541" s="22"/>
      <c r="H1541" s="24">
        <v>1.0</v>
      </c>
      <c r="I1541" s="24">
        <v>0.0</v>
      </c>
      <c r="K1541" s="8" t="str">
        <f t="shared" si="1"/>
        <v>CALL InsertOrUpdateAtributosProductos ('','831','3','MEDIDAS','50mm x 20mts','1','0');</v>
      </c>
    </row>
    <row r="1542">
      <c r="A1542" s="23"/>
      <c r="B1542" s="23">
        <v>831.0</v>
      </c>
      <c r="C1542" s="24">
        <v>3.0</v>
      </c>
      <c r="D1542" s="2" t="s">
        <v>263</v>
      </c>
      <c r="E1542" s="25" t="s">
        <v>2834</v>
      </c>
      <c r="F1542" s="22"/>
      <c r="G1542" s="22"/>
      <c r="H1542" s="24">
        <v>2.0</v>
      </c>
      <c r="I1542" s="24">
        <v>0.0</v>
      </c>
      <c r="K1542" s="8" t="str">
        <f t="shared" si="1"/>
        <v>CALL InsertOrUpdateAtributosProductos ('','831','3','MEDIDAS','50mm x 45mts','2','0');</v>
      </c>
    </row>
    <row r="1543">
      <c r="A1543" s="23"/>
      <c r="B1543" s="23">
        <v>831.0</v>
      </c>
      <c r="C1543" s="24">
        <v>3.0</v>
      </c>
      <c r="D1543" s="2" t="s">
        <v>263</v>
      </c>
      <c r="E1543" s="25" t="s">
        <v>2835</v>
      </c>
      <c r="F1543" s="22"/>
      <c r="G1543" s="22"/>
      <c r="H1543" s="24">
        <v>3.0</v>
      </c>
      <c r="I1543" s="24">
        <v>0.0</v>
      </c>
      <c r="K1543" s="8" t="str">
        <f t="shared" si="1"/>
        <v>CALL InsertOrUpdateAtributosProductos ('','831','3','MEDIDAS','50mm x 50mts','3','0');</v>
      </c>
    </row>
    <row r="1544">
      <c r="A1544" s="23"/>
      <c r="B1544" s="23">
        <v>831.0</v>
      </c>
      <c r="C1544" s="24">
        <v>3.0</v>
      </c>
      <c r="D1544" s="2" t="s">
        <v>263</v>
      </c>
      <c r="E1544" s="25" t="s">
        <v>2836</v>
      </c>
      <c r="F1544" s="22"/>
      <c r="G1544" s="22"/>
      <c r="H1544" s="24">
        <v>4.0</v>
      </c>
      <c r="I1544" s="24">
        <v>0.0</v>
      </c>
      <c r="K1544" s="8" t="str">
        <f t="shared" si="1"/>
        <v>CALL InsertOrUpdateAtributosProductos ('','831','3','MEDIDAS','50mm x 90mts','4','0');</v>
      </c>
    </row>
    <row r="1545">
      <c r="A1545" s="23"/>
      <c r="B1545" s="23">
        <v>832.0</v>
      </c>
      <c r="C1545" s="24">
        <v>3.0</v>
      </c>
      <c r="D1545" s="2" t="s">
        <v>692</v>
      </c>
      <c r="E1545" s="7" t="s">
        <v>2837</v>
      </c>
      <c r="F1545" s="22"/>
      <c r="G1545" s="22"/>
      <c r="H1545" s="24">
        <v>1.0</v>
      </c>
      <c r="I1545" s="24">
        <v>0.0</v>
      </c>
      <c r="K1545" s="8" t="str">
        <f t="shared" ref="K1545:K1546" si="2">CONCATENATE("CALL InsertOrUpdateAtributosProductos ('",A1545,"','",B1545,"','",C1545,"','",D1545,"','",E1546,"','",H1545,"','",I1545,"');")</f>
        <v>CALL InsertOrUpdateAtributosProductos ('','832','3','PESO','7 kg','1','0');</v>
      </c>
    </row>
    <row r="1546">
      <c r="A1546" s="23"/>
      <c r="B1546" s="23">
        <v>832.0</v>
      </c>
      <c r="C1546" s="24">
        <v>3.0</v>
      </c>
      <c r="D1546" s="2" t="s">
        <v>692</v>
      </c>
      <c r="E1546" s="7" t="s">
        <v>2838</v>
      </c>
      <c r="F1546" s="22"/>
      <c r="G1546" s="22"/>
      <c r="H1546" s="24">
        <v>2.0</v>
      </c>
      <c r="I1546" s="24">
        <v>0.0</v>
      </c>
      <c r="K1546" s="8" t="str">
        <f t="shared" si="2"/>
        <v>CALL InsertOrUpdateAtributosProductos ('','832','3','PESO','18 kg','2','0');</v>
      </c>
    </row>
    <row r="1547">
      <c r="A1547" s="23"/>
      <c r="B1547" s="23">
        <v>832.0</v>
      </c>
      <c r="C1547" s="24">
        <v>3.0</v>
      </c>
      <c r="D1547" s="2" t="s">
        <v>692</v>
      </c>
      <c r="E1547" s="7" t="s">
        <v>2839</v>
      </c>
      <c r="F1547" s="22"/>
      <c r="G1547" s="22"/>
      <c r="H1547" s="24">
        <v>3.0</v>
      </c>
      <c r="I1547" s="24">
        <v>0.0</v>
      </c>
      <c r="K1547" s="8" t="str">
        <f t="shared" ref="K1547:K1549" si="3">CONCATENATE("CALL InsertOrUpdateAtributosProductos ('",A1547,"','",B1547,"','",C1547,"','",D1547,"','",E1549,"','",H1547,"','",I1547,"');")</f>
        <v>CALL InsertOrUpdateAtributosProductos ('','832','3','PESO','32 kg','3','0');</v>
      </c>
    </row>
    <row r="1548">
      <c r="A1548" s="23"/>
      <c r="B1548" s="23">
        <v>832.0</v>
      </c>
      <c r="C1548" s="24">
        <v>3.0</v>
      </c>
      <c r="D1548" s="2" t="s">
        <v>692</v>
      </c>
      <c r="E1548" s="7" t="s">
        <v>2840</v>
      </c>
      <c r="F1548" s="22"/>
      <c r="G1548" s="22"/>
      <c r="H1548" s="24">
        <v>4.0</v>
      </c>
      <c r="I1548" s="24">
        <v>0.0</v>
      </c>
      <c r="K1548" s="8" t="str">
        <f t="shared" si="3"/>
        <v>CALL InsertOrUpdateAtributosProductos ('','832','3','PESO','10 kg','4','0');</v>
      </c>
    </row>
    <row r="1549">
      <c r="A1549" s="23"/>
      <c r="B1549" s="23">
        <v>832.0</v>
      </c>
      <c r="C1549" s="24">
        <v>3.0</v>
      </c>
      <c r="D1549" s="2" t="s">
        <v>692</v>
      </c>
      <c r="E1549" s="7" t="s">
        <v>2841</v>
      </c>
      <c r="F1549" s="22"/>
      <c r="G1549" s="22"/>
      <c r="H1549" s="24">
        <v>5.0</v>
      </c>
      <c r="I1549" s="24">
        <v>0.0</v>
      </c>
      <c r="K1549" s="8" t="str">
        <f t="shared" si="3"/>
        <v>CALL InsertOrUpdateAtributosProductos ('','832','3','PESO','22 kg','5','0');</v>
      </c>
    </row>
    <row r="1550">
      <c r="A1550" s="23"/>
      <c r="B1550" s="23">
        <v>833.0</v>
      </c>
      <c r="C1550" s="24">
        <v>3.0</v>
      </c>
      <c r="D1550" s="2" t="s">
        <v>692</v>
      </c>
      <c r="E1550" s="2" t="s">
        <v>2842</v>
      </c>
      <c r="F1550" s="22"/>
      <c r="G1550" s="22"/>
      <c r="H1550" s="24">
        <v>1.0</v>
      </c>
      <c r="I1550" s="24">
        <v>0.0</v>
      </c>
      <c r="K1550" s="8" t="str">
        <f t="shared" ref="K1550:K1552" si="4">CONCATENATE("CALL InsertOrUpdateAtributosProductos ('",A1550,"','",B1550,"','",C1550,"','",D1550,"','",E1551,"','",H1550,"','",I1550,"');")</f>
        <v>CALL InsertOrUpdateAtributosProductos ('','833','3','PESO','22 kg','1','0');</v>
      </c>
    </row>
    <row r="1551">
      <c r="A1551" s="23"/>
      <c r="B1551" s="23">
        <v>833.0</v>
      </c>
      <c r="C1551" s="24">
        <v>3.0</v>
      </c>
      <c r="D1551" s="2" t="s">
        <v>692</v>
      </c>
      <c r="E1551" s="2" t="s">
        <v>2843</v>
      </c>
      <c r="F1551" s="22"/>
      <c r="G1551" s="22"/>
      <c r="H1551" s="24">
        <v>2.0</v>
      </c>
      <c r="I1551" s="24">
        <v>0.0</v>
      </c>
      <c r="K1551" s="8" t="str">
        <f t="shared" si="4"/>
        <v>CALL InsertOrUpdateAtributosProductos ('','833','3','PESO','25 kg','2','0');</v>
      </c>
    </row>
    <row r="1552">
      <c r="A1552" s="23"/>
      <c r="B1552" s="23">
        <v>833.0</v>
      </c>
      <c r="C1552" s="24">
        <v>3.0</v>
      </c>
      <c r="D1552" s="2" t="s">
        <v>692</v>
      </c>
      <c r="E1552" s="7" t="s">
        <v>2840</v>
      </c>
      <c r="F1552" s="22"/>
      <c r="G1552" s="22"/>
      <c r="H1552" s="24">
        <v>3.0</v>
      </c>
      <c r="I1552" s="24">
        <v>0.0</v>
      </c>
      <c r="K1552" s="8" t="str">
        <f t="shared" si="4"/>
        <v>CALL InsertOrUpdateAtributosProductos ('','833','3','PESO','','3','0');</v>
      </c>
    </row>
    <row r="1553">
      <c r="A1553" s="24"/>
      <c r="B1553" s="24"/>
      <c r="C1553" s="24"/>
      <c r="D1553" s="7"/>
      <c r="E1553" s="7"/>
      <c r="F1553" s="22"/>
      <c r="G1553" s="22"/>
      <c r="H1553" s="24"/>
      <c r="I1553" s="24"/>
      <c r="K1553" s="8"/>
    </row>
    <row r="1554">
      <c r="A1554" s="24"/>
      <c r="B1554" s="24"/>
      <c r="C1554" s="24"/>
      <c r="D1554" s="7"/>
      <c r="E1554" s="7"/>
      <c r="F1554" s="22"/>
      <c r="G1554" s="22"/>
      <c r="H1554" s="24"/>
      <c r="I1554" s="24"/>
      <c r="K1554" s="8"/>
    </row>
    <row r="1555">
      <c r="A1555" s="24"/>
      <c r="B1555" s="24"/>
      <c r="C1555" s="24"/>
      <c r="D1555" s="7"/>
      <c r="E1555" s="7"/>
      <c r="F1555" s="22"/>
      <c r="G1555" s="22"/>
      <c r="H1555" s="24"/>
      <c r="I1555" s="24"/>
      <c r="K1555" s="8"/>
    </row>
    <row r="1556">
      <c r="A1556" s="24"/>
      <c r="B1556" s="24"/>
      <c r="C1556" s="24"/>
      <c r="D1556" s="7"/>
      <c r="E1556" s="7"/>
      <c r="F1556" s="22"/>
      <c r="G1556" s="22"/>
      <c r="H1556" s="24"/>
      <c r="I1556" s="24"/>
      <c r="K1556" s="8"/>
    </row>
    <row r="1557">
      <c r="A1557" s="24"/>
      <c r="B1557" s="24"/>
      <c r="C1557" s="24"/>
      <c r="D1557" s="7"/>
      <c r="E1557" s="7"/>
      <c r="F1557" s="22"/>
      <c r="G1557" s="22"/>
      <c r="H1557" s="24"/>
      <c r="I1557" s="24"/>
      <c r="K1557" s="8"/>
    </row>
    <row r="1558">
      <c r="A1558" s="24"/>
      <c r="B1558" s="24"/>
      <c r="C1558" s="24"/>
      <c r="D1558" s="7"/>
      <c r="E1558" s="7"/>
      <c r="F1558" s="22"/>
      <c r="G1558" s="22"/>
      <c r="H1558" s="24"/>
      <c r="I1558" s="24"/>
      <c r="K1558" s="8"/>
    </row>
    <row r="1559">
      <c r="A1559" s="24"/>
      <c r="B1559" s="24"/>
      <c r="C1559" s="24"/>
      <c r="D1559" s="7"/>
      <c r="E1559" s="7"/>
      <c r="F1559" s="22"/>
      <c r="G1559" s="22"/>
      <c r="H1559" s="24"/>
      <c r="I1559" s="24"/>
      <c r="K1559" s="8"/>
    </row>
    <row r="1560">
      <c r="A1560" s="24"/>
      <c r="B1560" s="24"/>
      <c r="C1560" s="24"/>
      <c r="D1560" s="7"/>
      <c r="E1560" s="7"/>
      <c r="F1560" s="22"/>
      <c r="G1560" s="22"/>
      <c r="H1560" s="24"/>
      <c r="I1560" s="24"/>
      <c r="K1560" s="8"/>
    </row>
    <row r="1561">
      <c r="A1561" s="24"/>
      <c r="B1561" s="24"/>
      <c r="C1561" s="24"/>
      <c r="D1561" s="7"/>
      <c r="E1561" s="7"/>
      <c r="F1561" s="22"/>
      <c r="G1561" s="22"/>
      <c r="H1561" s="24"/>
      <c r="I1561" s="24"/>
      <c r="K1561" s="8"/>
    </row>
    <row r="1562">
      <c r="A1562" s="24"/>
      <c r="B1562" s="24"/>
      <c r="C1562" s="24"/>
      <c r="D1562" s="7"/>
      <c r="E1562" s="7"/>
      <c r="F1562" s="22"/>
      <c r="G1562" s="22"/>
      <c r="H1562" s="24"/>
      <c r="I1562" s="24"/>
      <c r="K1562" s="8"/>
    </row>
    <row r="1563">
      <c r="A1563" s="24"/>
      <c r="B1563" s="24"/>
      <c r="C1563" s="24"/>
      <c r="D1563" s="7"/>
      <c r="E1563" s="7"/>
      <c r="F1563" s="22"/>
      <c r="G1563" s="22"/>
      <c r="H1563" s="24"/>
      <c r="I1563" s="24"/>
      <c r="K1563" s="8"/>
    </row>
    <row r="1564">
      <c r="A1564" s="24"/>
      <c r="B1564" s="24"/>
      <c r="C1564" s="24"/>
      <c r="D1564" s="7"/>
      <c r="E1564" s="7"/>
      <c r="F1564" s="22"/>
      <c r="G1564" s="22"/>
      <c r="H1564" s="24"/>
      <c r="I1564" s="24"/>
      <c r="K1564" s="8"/>
    </row>
    <row r="1565">
      <c r="A1565" s="24"/>
      <c r="B1565" s="24"/>
      <c r="C1565" s="24"/>
      <c r="D1565" s="7"/>
      <c r="E1565" s="7"/>
      <c r="F1565" s="22"/>
      <c r="G1565" s="22"/>
      <c r="H1565" s="24"/>
      <c r="I1565" s="24"/>
      <c r="K1565" s="8"/>
    </row>
    <row r="1566">
      <c r="A1566" s="24"/>
      <c r="B1566" s="24"/>
      <c r="C1566" s="24"/>
      <c r="D1566" s="7"/>
      <c r="E1566" s="7"/>
      <c r="F1566" s="22"/>
      <c r="G1566" s="22"/>
      <c r="H1566" s="24"/>
      <c r="I1566" s="24"/>
      <c r="K1566" s="8"/>
    </row>
    <row r="1567">
      <c r="A1567" s="24"/>
      <c r="B1567" s="24"/>
      <c r="C1567" s="24"/>
      <c r="D1567" s="7"/>
      <c r="E1567" s="7"/>
      <c r="F1567" s="22"/>
      <c r="G1567" s="22"/>
      <c r="H1567" s="24"/>
      <c r="I1567" s="24"/>
      <c r="K1567" s="8"/>
    </row>
    <row r="1568">
      <c r="A1568" s="24"/>
      <c r="B1568" s="24"/>
      <c r="C1568" s="24"/>
      <c r="D1568" s="7"/>
      <c r="E1568" s="7"/>
      <c r="F1568" s="22"/>
      <c r="G1568" s="22"/>
      <c r="H1568" s="24"/>
      <c r="I1568" s="24"/>
      <c r="K1568" s="8"/>
    </row>
    <row r="1569">
      <c r="A1569" s="24"/>
      <c r="B1569" s="24"/>
      <c r="C1569" s="24"/>
      <c r="D1569" s="7"/>
      <c r="E1569" s="7"/>
      <c r="F1569" s="22"/>
      <c r="G1569" s="22"/>
      <c r="H1569" s="24"/>
      <c r="I1569" s="24"/>
      <c r="K1569" s="8"/>
    </row>
    <row r="1570">
      <c r="A1570" s="24"/>
      <c r="B1570" s="24"/>
      <c r="C1570" s="24"/>
      <c r="D1570" s="7"/>
      <c r="E1570" s="7"/>
      <c r="F1570" s="22"/>
      <c r="G1570" s="22"/>
      <c r="H1570" s="24"/>
      <c r="I1570" s="24"/>
      <c r="K1570" s="8"/>
    </row>
    <row r="1571">
      <c r="A1571" s="24"/>
      <c r="B1571" s="24"/>
      <c r="C1571" s="24"/>
      <c r="D1571" s="7"/>
      <c r="E1571" s="7"/>
      <c r="F1571" s="22"/>
      <c r="G1571" s="22"/>
      <c r="H1571" s="24"/>
      <c r="I1571" s="24"/>
      <c r="K1571" s="8"/>
    </row>
    <row r="1572">
      <c r="A1572" s="24"/>
      <c r="B1572" s="24"/>
      <c r="C1572" s="24"/>
      <c r="D1572" s="7"/>
      <c r="E1572" s="7"/>
      <c r="F1572" s="22"/>
      <c r="G1572" s="22"/>
      <c r="H1572" s="24"/>
      <c r="I1572" s="24"/>
      <c r="K1572" s="8"/>
    </row>
    <row r="1573">
      <c r="A1573" s="24"/>
      <c r="B1573" s="24"/>
      <c r="C1573" s="24"/>
      <c r="D1573" s="7"/>
      <c r="E1573" s="7"/>
      <c r="F1573" s="22"/>
      <c r="G1573" s="22"/>
      <c r="H1573" s="24"/>
      <c r="I1573" s="24"/>
      <c r="K1573" s="8"/>
    </row>
    <row r="1574">
      <c r="A1574" s="24"/>
      <c r="B1574" s="24"/>
      <c r="C1574" s="24"/>
      <c r="D1574" s="7"/>
      <c r="E1574" s="7"/>
      <c r="F1574" s="22"/>
      <c r="G1574" s="22"/>
      <c r="H1574" s="24"/>
      <c r="I1574" s="24"/>
      <c r="K1574" s="8"/>
    </row>
    <row r="1575">
      <c r="A1575" s="24"/>
      <c r="B1575" s="24"/>
      <c r="C1575" s="24"/>
      <c r="D1575" s="7"/>
      <c r="E1575" s="7"/>
      <c r="F1575" s="22"/>
      <c r="G1575" s="22"/>
      <c r="H1575" s="24"/>
      <c r="I1575" s="24"/>
      <c r="K1575" s="8"/>
    </row>
    <row r="1576">
      <c r="A1576" s="24"/>
      <c r="B1576" s="24"/>
      <c r="C1576" s="24"/>
      <c r="D1576" s="7"/>
      <c r="E1576" s="7"/>
      <c r="F1576" s="22"/>
      <c r="G1576" s="22"/>
      <c r="H1576" s="24"/>
      <c r="I1576" s="24"/>
      <c r="K1576" s="8"/>
    </row>
    <row r="1577">
      <c r="A1577" s="24"/>
      <c r="B1577" s="24"/>
      <c r="C1577" s="24"/>
      <c r="D1577" s="7"/>
      <c r="E1577" s="7"/>
      <c r="F1577" s="22"/>
      <c r="G1577" s="22"/>
      <c r="H1577" s="24"/>
      <c r="I1577" s="24"/>
      <c r="K1577" s="8"/>
    </row>
    <row r="1578">
      <c r="A1578" s="24"/>
      <c r="B1578" s="24"/>
      <c r="C1578" s="24"/>
      <c r="D1578" s="7"/>
      <c r="E1578" s="7"/>
      <c r="F1578" s="22"/>
      <c r="G1578" s="22"/>
      <c r="H1578" s="24"/>
      <c r="I1578" s="24"/>
      <c r="K1578" s="8"/>
    </row>
    <row r="1579">
      <c r="A1579" s="24"/>
      <c r="B1579" s="24"/>
      <c r="C1579" s="24"/>
      <c r="D1579" s="7"/>
      <c r="E1579" s="7"/>
      <c r="F1579" s="22"/>
      <c r="G1579" s="22"/>
      <c r="H1579" s="24"/>
      <c r="I1579" s="24"/>
      <c r="K1579" s="8"/>
    </row>
    <row r="1580">
      <c r="A1580" s="24"/>
      <c r="B1580" s="24"/>
      <c r="C1580" s="24"/>
      <c r="D1580" s="7"/>
      <c r="E1580" s="7"/>
      <c r="F1580" s="22"/>
      <c r="G1580" s="22"/>
      <c r="H1580" s="24"/>
      <c r="I1580" s="24"/>
      <c r="K1580" s="8"/>
    </row>
    <row r="1581">
      <c r="A1581" s="24"/>
      <c r="B1581" s="24"/>
      <c r="C1581" s="24"/>
      <c r="D1581" s="7"/>
      <c r="E1581" s="7"/>
      <c r="F1581" s="22"/>
      <c r="G1581" s="22"/>
      <c r="H1581" s="24"/>
      <c r="I1581" s="24"/>
      <c r="K1581" s="8"/>
    </row>
    <row r="1582">
      <c r="A1582" s="24"/>
      <c r="B1582" s="24"/>
      <c r="C1582" s="24"/>
      <c r="D1582" s="7"/>
      <c r="E1582" s="7"/>
      <c r="F1582" s="22"/>
      <c r="G1582" s="22"/>
      <c r="H1582" s="24"/>
      <c r="I1582" s="24"/>
      <c r="K1582" s="8"/>
    </row>
    <row r="1583">
      <c r="A1583" s="24"/>
      <c r="B1583" s="24"/>
      <c r="C1583" s="24"/>
      <c r="D1583" s="7"/>
      <c r="E1583" s="7"/>
      <c r="F1583" s="22"/>
      <c r="G1583" s="22"/>
      <c r="H1583" s="24"/>
      <c r="I1583" s="24"/>
      <c r="K1583" s="8"/>
    </row>
    <row r="1584">
      <c r="A1584" s="24"/>
      <c r="B1584" s="24"/>
      <c r="C1584" s="24"/>
      <c r="D1584" s="7"/>
      <c r="E1584" s="7"/>
      <c r="F1584" s="22"/>
      <c r="G1584" s="22"/>
      <c r="H1584" s="24"/>
      <c r="I1584" s="24"/>
      <c r="K1584" s="8"/>
    </row>
    <row r="1585">
      <c r="A1585" s="24"/>
      <c r="B1585" s="24"/>
      <c r="C1585" s="24"/>
      <c r="D1585" s="7"/>
      <c r="E1585" s="7"/>
      <c r="F1585" s="22"/>
      <c r="G1585" s="22"/>
      <c r="H1585" s="24"/>
      <c r="I1585" s="24"/>
      <c r="K1585" s="8"/>
    </row>
    <row r="1586">
      <c r="A1586" s="24"/>
      <c r="B1586" s="24"/>
      <c r="C1586" s="24"/>
      <c r="D1586" s="7"/>
      <c r="E1586" s="7"/>
      <c r="F1586" s="22"/>
      <c r="G1586" s="22"/>
      <c r="H1586" s="24"/>
      <c r="I1586" s="24"/>
      <c r="K1586" s="8"/>
    </row>
    <row r="1587">
      <c r="A1587" s="24"/>
      <c r="B1587" s="24"/>
      <c r="C1587" s="24"/>
      <c r="D1587" s="7"/>
      <c r="E1587" s="7"/>
      <c r="F1587" s="22"/>
      <c r="G1587" s="22"/>
      <c r="H1587" s="24"/>
      <c r="I1587" s="24"/>
      <c r="K1587" s="8"/>
    </row>
    <row r="1588">
      <c r="A1588" s="24"/>
      <c r="B1588" s="24"/>
      <c r="C1588" s="24"/>
      <c r="D1588" s="7"/>
      <c r="E1588" s="7"/>
      <c r="F1588" s="22"/>
      <c r="G1588" s="22"/>
      <c r="H1588" s="24"/>
      <c r="I1588" s="24"/>
      <c r="K1588" s="8"/>
    </row>
    <row r="1589">
      <c r="A1589" s="24"/>
      <c r="B1589" s="24"/>
      <c r="C1589" s="24"/>
      <c r="D1589" s="7"/>
      <c r="E1589" s="7"/>
      <c r="F1589" s="22"/>
      <c r="G1589" s="22"/>
      <c r="H1589" s="24"/>
      <c r="I1589" s="24"/>
      <c r="K1589" s="8"/>
    </row>
    <row r="1590">
      <c r="A1590" s="24"/>
      <c r="B1590" s="24"/>
      <c r="C1590" s="24"/>
      <c r="D1590" s="7"/>
      <c r="E1590" s="7"/>
      <c r="F1590" s="22"/>
      <c r="G1590" s="22"/>
      <c r="H1590" s="24"/>
      <c r="I1590" s="24"/>
      <c r="K1590" s="8"/>
    </row>
    <row r="1591">
      <c r="A1591" s="24"/>
      <c r="B1591" s="24"/>
      <c r="C1591" s="24"/>
      <c r="D1591" s="7"/>
      <c r="E1591" s="7"/>
      <c r="F1591" s="22"/>
      <c r="G1591" s="22"/>
      <c r="H1591" s="24"/>
      <c r="I1591" s="24"/>
      <c r="K1591" s="8"/>
    </row>
    <row r="1592">
      <c r="A1592" s="24"/>
      <c r="B1592" s="24"/>
      <c r="C1592" s="24"/>
      <c r="D1592" s="7"/>
      <c r="E1592" s="7"/>
      <c r="F1592" s="22"/>
      <c r="G1592" s="22"/>
      <c r="H1592" s="24"/>
      <c r="I1592" s="24"/>
      <c r="K1592" s="8"/>
    </row>
    <row r="1593">
      <c r="A1593" s="24"/>
      <c r="B1593" s="24"/>
      <c r="C1593" s="24"/>
      <c r="D1593" s="7"/>
      <c r="E1593" s="7"/>
      <c r="F1593" s="22"/>
      <c r="G1593" s="22"/>
      <c r="H1593" s="24"/>
      <c r="I1593" s="24"/>
      <c r="K1593" s="8"/>
    </row>
    <row r="1594">
      <c r="A1594" s="24"/>
      <c r="B1594" s="24"/>
      <c r="C1594" s="24"/>
      <c r="D1594" s="7"/>
      <c r="E1594" s="7"/>
      <c r="F1594" s="22"/>
      <c r="G1594" s="22"/>
      <c r="H1594" s="24"/>
      <c r="I1594" s="24"/>
      <c r="K1594" s="8"/>
    </row>
    <row r="1595">
      <c r="A1595" s="24"/>
      <c r="B1595" s="24"/>
      <c r="C1595" s="24"/>
      <c r="D1595" s="7"/>
      <c r="E1595" s="7"/>
      <c r="F1595" s="22"/>
      <c r="G1595" s="22"/>
      <c r="H1595" s="24"/>
      <c r="I1595" s="24"/>
      <c r="K1595" s="8"/>
    </row>
    <row r="1596">
      <c r="A1596" s="24"/>
      <c r="B1596" s="24"/>
      <c r="C1596" s="24"/>
      <c r="D1596" s="7"/>
      <c r="E1596" s="7"/>
      <c r="F1596" s="22"/>
      <c r="G1596" s="22"/>
      <c r="H1596" s="24"/>
      <c r="I1596" s="24"/>
      <c r="K1596" s="8"/>
    </row>
    <row r="1597">
      <c r="A1597" s="24"/>
      <c r="B1597" s="24"/>
      <c r="C1597" s="24"/>
      <c r="D1597" s="7"/>
      <c r="E1597" s="7"/>
      <c r="F1597" s="22"/>
      <c r="G1597" s="22"/>
      <c r="H1597" s="24"/>
      <c r="I1597" s="24"/>
      <c r="K1597" s="8"/>
    </row>
    <row r="1598">
      <c r="A1598" s="24"/>
      <c r="B1598" s="24"/>
      <c r="C1598" s="24"/>
      <c r="D1598" s="7"/>
      <c r="E1598" s="7"/>
      <c r="F1598" s="22"/>
      <c r="G1598" s="22"/>
      <c r="H1598" s="24"/>
      <c r="I1598" s="24"/>
      <c r="K1598" s="8"/>
    </row>
    <row r="1599">
      <c r="A1599" s="24"/>
      <c r="B1599" s="24"/>
      <c r="C1599" s="24"/>
      <c r="D1599" s="7"/>
      <c r="E1599" s="7"/>
      <c r="F1599" s="22"/>
      <c r="G1599" s="22"/>
      <c r="H1599" s="24"/>
      <c r="I1599" s="24"/>
      <c r="K1599" s="8"/>
    </row>
    <row r="1600">
      <c r="A1600" s="24"/>
      <c r="B1600" s="24"/>
      <c r="C1600" s="24"/>
      <c r="D1600" s="7"/>
      <c r="E1600" s="7"/>
      <c r="F1600" s="22"/>
      <c r="G1600" s="22"/>
      <c r="H1600" s="24"/>
      <c r="I1600" s="24"/>
      <c r="K1600" s="8"/>
    </row>
    <row r="1601">
      <c r="A1601" s="24"/>
      <c r="B1601" s="24"/>
      <c r="C1601" s="24"/>
      <c r="D1601" s="7"/>
      <c r="E1601" s="7"/>
      <c r="F1601" s="22"/>
      <c r="G1601" s="22"/>
      <c r="H1601" s="24"/>
      <c r="I1601" s="24"/>
      <c r="K1601" s="8"/>
    </row>
    <row r="1602">
      <c r="A1602" s="24"/>
      <c r="B1602" s="24"/>
      <c r="C1602" s="24"/>
      <c r="D1602" s="7"/>
      <c r="E1602" s="7"/>
      <c r="F1602" s="22"/>
      <c r="G1602" s="22"/>
      <c r="H1602" s="24"/>
      <c r="I1602" s="24"/>
      <c r="K1602" s="8"/>
    </row>
    <row r="1603">
      <c r="A1603" s="24"/>
      <c r="B1603" s="24"/>
      <c r="C1603" s="24"/>
      <c r="D1603" s="7"/>
      <c r="E1603" s="7"/>
      <c r="F1603" s="22"/>
      <c r="G1603" s="22"/>
      <c r="H1603" s="24"/>
      <c r="I1603" s="24"/>
      <c r="K1603" s="8"/>
    </row>
    <row r="1604">
      <c r="A1604" s="24"/>
      <c r="B1604" s="24"/>
      <c r="C1604" s="24"/>
      <c r="D1604" s="7"/>
      <c r="E1604" s="7"/>
      <c r="F1604" s="22"/>
      <c r="G1604" s="22"/>
      <c r="H1604" s="24"/>
      <c r="I1604" s="24"/>
      <c r="K1604" s="8"/>
    </row>
    <row r="1605">
      <c r="A1605" s="24"/>
      <c r="B1605" s="24"/>
      <c r="C1605" s="24"/>
      <c r="D1605" s="7"/>
      <c r="E1605" s="7"/>
      <c r="F1605" s="22"/>
      <c r="G1605" s="22"/>
      <c r="H1605" s="24"/>
      <c r="I1605" s="24"/>
      <c r="K1605" s="8"/>
    </row>
    <row r="1606">
      <c r="A1606" s="24"/>
      <c r="B1606" s="24"/>
      <c r="C1606" s="24"/>
      <c r="D1606" s="7"/>
      <c r="E1606" s="7"/>
      <c r="F1606" s="22"/>
      <c r="G1606" s="22"/>
      <c r="H1606" s="24"/>
      <c r="I1606" s="24"/>
      <c r="K1606" s="8"/>
    </row>
    <row r="1607">
      <c r="A1607" s="24"/>
      <c r="B1607" s="24"/>
      <c r="C1607" s="24"/>
      <c r="D1607" s="7"/>
      <c r="E1607" s="7"/>
      <c r="F1607" s="22"/>
      <c r="G1607" s="22"/>
      <c r="H1607" s="24"/>
      <c r="I1607" s="24"/>
      <c r="K1607" s="8"/>
    </row>
    <row r="1608">
      <c r="A1608" s="24"/>
      <c r="B1608" s="24"/>
      <c r="C1608" s="24"/>
      <c r="D1608" s="7"/>
      <c r="E1608" s="7"/>
      <c r="F1608" s="22"/>
      <c r="G1608" s="22"/>
      <c r="H1608" s="24"/>
      <c r="I1608" s="24"/>
      <c r="K1608" s="8"/>
    </row>
    <row r="1609">
      <c r="A1609" s="24"/>
      <c r="B1609" s="24"/>
      <c r="C1609" s="24"/>
      <c r="D1609" s="7"/>
      <c r="E1609" s="7"/>
      <c r="F1609" s="22"/>
      <c r="G1609" s="22"/>
      <c r="H1609" s="24"/>
      <c r="I1609" s="24"/>
      <c r="K1609" s="8"/>
    </row>
    <row r="1610">
      <c r="A1610" s="24"/>
      <c r="B1610" s="24"/>
      <c r="C1610" s="24"/>
      <c r="D1610" s="7"/>
      <c r="E1610" s="7"/>
      <c r="F1610" s="22"/>
      <c r="G1610" s="22"/>
      <c r="H1610" s="24"/>
      <c r="I1610" s="24"/>
      <c r="K1610" s="8"/>
    </row>
    <row r="1611">
      <c r="A1611" s="24"/>
      <c r="B1611" s="24"/>
      <c r="C1611" s="24"/>
      <c r="D1611" s="7"/>
      <c r="E1611" s="7"/>
      <c r="F1611" s="22"/>
      <c r="G1611" s="22"/>
      <c r="H1611" s="24"/>
      <c r="I1611" s="24"/>
      <c r="K1611" s="8"/>
    </row>
    <row r="1612">
      <c r="A1612" s="24"/>
      <c r="B1612" s="24"/>
      <c r="C1612" s="24"/>
      <c r="D1612" s="7"/>
      <c r="E1612" s="7"/>
      <c r="F1612" s="22"/>
      <c r="G1612" s="22"/>
      <c r="H1612" s="24"/>
      <c r="I1612" s="24"/>
      <c r="K1612" s="8"/>
    </row>
    <row r="1613">
      <c r="A1613" s="24"/>
      <c r="B1613" s="24"/>
      <c r="C1613" s="24"/>
      <c r="D1613" s="7"/>
      <c r="E1613" s="7"/>
      <c r="F1613" s="22"/>
      <c r="G1613" s="22"/>
      <c r="H1613" s="24"/>
      <c r="I1613" s="24"/>
      <c r="K1613" s="8"/>
    </row>
    <row r="1614">
      <c r="A1614" s="24"/>
      <c r="B1614" s="24"/>
      <c r="C1614" s="24"/>
      <c r="D1614" s="7"/>
      <c r="E1614" s="7"/>
      <c r="F1614" s="22"/>
      <c r="G1614" s="22"/>
      <c r="H1614" s="24"/>
      <c r="I1614" s="24"/>
      <c r="K1614" s="8"/>
    </row>
    <row r="1615">
      <c r="A1615" s="24"/>
      <c r="B1615" s="24"/>
      <c r="C1615" s="24"/>
      <c r="D1615" s="7"/>
      <c r="E1615" s="7"/>
      <c r="F1615" s="22"/>
      <c r="G1615" s="22"/>
      <c r="H1615" s="24"/>
      <c r="I1615" s="24"/>
      <c r="K1615" s="8"/>
    </row>
    <row r="1616">
      <c r="A1616" s="24"/>
      <c r="B1616" s="24"/>
      <c r="C1616" s="24"/>
      <c r="D1616" s="7"/>
      <c r="E1616" s="7"/>
      <c r="F1616" s="22"/>
      <c r="G1616" s="22"/>
      <c r="H1616" s="24"/>
      <c r="I1616" s="24"/>
      <c r="K1616" s="8"/>
    </row>
    <row r="1617">
      <c r="A1617" s="24"/>
      <c r="B1617" s="24"/>
      <c r="C1617" s="24"/>
      <c r="D1617" s="7"/>
      <c r="E1617" s="7"/>
      <c r="F1617" s="22"/>
      <c r="G1617" s="22"/>
      <c r="H1617" s="24"/>
      <c r="I1617" s="24"/>
      <c r="K1617" s="8"/>
    </row>
    <row r="1618">
      <c r="A1618" s="24"/>
      <c r="B1618" s="24"/>
      <c r="C1618" s="24"/>
      <c r="D1618" s="7"/>
      <c r="E1618" s="7"/>
      <c r="F1618" s="22"/>
      <c r="G1618" s="22"/>
      <c r="H1618" s="24"/>
      <c r="I1618" s="24"/>
      <c r="K1618" s="8"/>
    </row>
    <row r="1619">
      <c r="A1619" s="24"/>
      <c r="B1619" s="24"/>
      <c r="C1619" s="24"/>
      <c r="D1619" s="7"/>
      <c r="E1619" s="7"/>
      <c r="F1619" s="22"/>
      <c r="G1619" s="22"/>
      <c r="H1619" s="24"/>
      <c r="I1619" s="24"/>
      <c r="K1619" s="8"/>
    </row>
    <row r="1620">
      <c r="A1620" s="24"/>
      <c r="B1620" s="24"/>
      <c r="C1620" s="24"/>
      <c r="D1620" s="7"/>
      <c r="E1620" s="7"/>
      <c r="F1620" s="22"/>
      <c r="G1620" s="22"/>
      <c r="H1620" s="24"/>
      <c r="I1620" s="24"/>
      <c r="K1620" s="8"/>
    </row>
    <row r="1621">
      <c r="A1621" s="24"/>
      <c r="B1621" s="24"/>
      <c r="C1621" s="24"/>
      <c r="D1621" s="7"/>
      <c r="E1621" s="7"/>
      <c r="F1621" s="22"/>
      <c r="G1621" s="22"/>
      <c r="H1621" s="24"/>
      <c r="I1621" s="24"/>
      <c r="K1621" s="8"/>
    </row>
    <row r="1622">
      <c r="A1622" s="24"/>
      <c r="B1622" s="24"/>
      <c r="C1622" s="24"/>
      <c r="D1622" s="7"/>
      <c r="E1622" s="7"/>
      <c r="F1622" s="22"/>
      <c r="G1622" s="22"/>
      <c r="H1622" s="24"/>
      <c r="I1622" s="24"/>
      <c r="K1622" s="8"/>
    </row>
    <row r="1623">
      <c r="A1623" s="24"/>
      <c r="B1623" s="24"/>
      <c r="C1623" s="24"/>
      <c r="D1623" s="7"/>
      <c r="E1623" s="7"/>
      <c r="F1623" s="22"/>
      <c r="G1623" s="22"/>
      <c r="H1623" s="24"/>
      <c r="I1623" s="24"/>
      <c r="K1623" s="8"/>
    </row>
    <row r="1624">
      <c r="A1624" s="24"/>
      <c r="B1624" s="24"/>
      <c r="C1624" s="24"/>
      <c r="D1624" s="7"/>
      <c r="E1624" s="7"/>
      <c r="F1624" s="22"/>
      <c r="G1624" s="22"/>
      <c r="H1624" s="24"/>
      <c r="I1624" s="24"/>
      <c r="K1624" s="8"/>
    </row>
    <row r="1625">
      <c r="A1625" s="24"/>
      <c r="B1625" s="24"/>
      <c r="C1625" s="24"/>
      <c r="D1625" s="7"/>
      <c r="E1625" s="7"/>
      <c r="F1625" s="22"/>
      <c r="G1625" s="22"/>
      <c r="H1625" s="24"/>
      <c r="I1625" s="24"/>
      <c r="K1625" s="8"/>
    </row>
    <row r="1626">
      <c r="A1626" s="24"/>
      <c r="B1626" s="24"/>
      <c r="C1626" s="24"/>
      <c r="D1626" s="7"/>
      <c r="E1626" s="7"/>
      <c r="F1626" s="22"/>
      <c r="G1626" s="22"/>
      <c r="H1626" s="24"/>
      <c r="I1626" s="24"/>
      <c r="K1626" s="8"/>
    </row>
    <row r="1627">
      <c r="A1627" s="24"/>
      <c r="B1627" s="24"/>
      <c r="C1627" s="24"/>
      <c r="D1627" s="7"/>
      <c r="E1627" s="7"/>
      <c r="F1627" s="22"/>
      <c r="G1627" s="22"/>
      <c r="H1627" s="24"/>
      <c r="I1627" s="24"/>
      <c r="K1627" s="8"/>
    </row>
    <row r="1628">
      <c r="A1628" s="24"/>
      <c r="B1628" s="24"/>
      <c r="C1628" s="24"/>
      <c r="D1628" s="7"/>
      <c r="E1628" s="7"/>
      <c r="F1628" s="22"/>
      <c r="G1628" s="22"/>
      <c r="H1628" s="24"/>
      <c r="I1628" s="24"/>
      <c r="K1628" s="8"/>
    </row>
    <row r="1629">
      <c r="A1629" s="24"/>
      <c r="B1629" s="24"/>
      <c r="C1629" s="24"/>
      <c r="D1629" s="7"/>
      <c r="E1629" s="7"/>
      <c r="F1629" s="22"/>
      <c r="G1629" s="22"/>
      <c r="H1629" s="24"/>
      <c r="I1629" s="24"/>
      <c r="K1629" s="8"/>
    </row>
    <row r="1630">
      <c r="A1630" s="24"/>
      <c r="B1630" s="24"/>
      <c r="C1630" s="24"/>
      <c r="D1630" s="7"/>
      <c r="E1630" s="7"/>
      <c r="F1630" s="22"/>
      <c r="G1630" s="22"/>
      <c r="H1630" s="24"/>
      <c r="I1630" s="24"/>
      <c r="K1630" s="8"/>
    </row>
    <row r="1631">
      <c r="A1631" s="24"/>
      <c r="B1631" s="24"/>
      <c r="C1631" s="24"/>
      <c r="D1631" s="7"/>
      <c r="E1631" s="7"/>
      <c r="F1631" s="22"/>
      <c r="G1631" s="22"/>
      <c r="H1631" s="24"/>
      <c r="I1631" s="24"/>
      <c r="K1631" s="8"/>
    </row>
    <row r="1632">
      <c r="A1632" s="24"/>
      <c r="B1632" s="24"/>
      <c r="C1632" s="24"/>
      <c r="D1632" s="7"/>
      <c r="E1632" s="7"/>
      <c r="F1632" s="22"/>
      <c r="G1632" s="22"/>
      <c r="H1632" s="24"/>
      <c r="I1632" s="24"/>
      <c r="K1632" s="8"/>
    </row>
    <row r="1633">
      <c r="A1633" s="24"/>
      <c r="B1633" s="24"/>
      <c r="C1633" s="24"/>
      <c r="D1633" s="7"/>
      <c r="E1633" s="7"/>
      <c r="F1633" s="22"/>
      <c r="G1633" s="22"/>
      <c r="H1633" s="24"/>
      <c r="I1633" s="24"/>
      <c r="K1633" s="8"/>
    </row>
    <row r="1634">
      <c r="A1634" s="24"/>
      <c r="B1634" s="24"/>
      <c r="C1634" s="24"/>
      <c r="D1634" s="7"/>
      <c r="E1634" s="7"/>
      <c r="F1634" s="22"/>
      <c r="G1634" s="22"/>
      <c r="H1634" s="24"/>
      <c r="I1634" s="24"/>
      <c r="K1634" s="8"/>
    </row>
    <row r="1635">
      <c r="A1635" s="24"/>
      <c r="B1635" s="24"/>
      <c r="C1635" s="24"/>
      <c r="D1635" s="7"/>
      <c r="E1635" s="7"/>
      <c r="F1635" s="22"/>
      <c r="G1635" s="22"/>
      <c r="H1635" s="24"/>
      <c r="I1635" s="24"/>
      <c r="K1635" s="8"/>
    </row>
    <row r="1636">
      <c r="A1636" s="24"/>
      <c r="B1636" s="24"/>
      <c r="C1636" s="24"/>
      <c r="D1636" s="7"/>
      <c r="E1636" s="7"/>
      <c r="F1636" s="22"/>
      <c r="G1636" s="22"/>
      <c r="H1636" s="24"/>
      <c r="I1636" s="24"/>
      <c r="K1636" s="8"/>
    </row>
    <row r="1637">
      <c r="A1637" s="24"/>
      <c r="B1637" s="24"/>
      <c r="C1637" s="24"/>
      <c r="D1637" s="7"/>
      <c r="E1637" s="7"/>
      <c r="F1637" s="22"/>
      <c r="G1637" s="22"/>
      <c r="H1637" s="24"/>
      <c r="I1637" s="24"/>
      <c r="K1637" s="8"/>
    </row>
    <row r="1638">
      <c r="A1638" s="24"/>
      <c r="B1638" s="24"/>
      <c r="C1638" s="24"/>
      <c r="D1638" s="7"/>
      <c r="E1638" s="7"/>
      <c r="F1638" s="22"/>
      <c r="G1638" s="22"/>
      <c r="H1638" s="24"/>
      <c r="I1638" s="24"/>
      <c r="K1638" s="8"/>
    </row>
    <row r="1639">
      <c r="A1639" s="24"/>
      <c r="B1639" s="24"/>
      <c r="C1639" s="24"/>
      <c r="D1639" s="7"/>
      <c r="E1639" s="7"/>
      <c r="F1639" s="22"/>
      <c r="G1639" s="22"/>
      <c r="H1639" s="24"/>
      <c r="I1639" s="24"/>
      <c r="K1639" s="8"/>
    </row>
    <row r="1640">
      <c r="A1640" s="24"/>
      <c r="B1640" s="24"/>
      <c r="C1640" s="24"/>
      <c r="D1640" s="7"/>
      <c r="E1640" s="7"/>
      <c r="F1640" s="22"/>
      <c r="G1640" s="22"/>
      <c r="H1640" s="24"/>
      <c r="I1640" s="24"/>
      <c r="K1640" s="8"/>
    </row>
    <row r="1641">
      <c r="A1641" s="24"/>
      <c r="B1641" s="24"/>
      <c r="C1641" s="24"/>
      <c r="D1641" s="7"/>
      <c r="E1641" s="7"/>
      <c r="F1641" s="22"/>
      <c r="G1641" s="22"/>
      <c r="H1641" s="24"/>
      <c r="I1641" s="24"/>
      <c r="K1641" s="8"/>
    </row>
    <row r="1642">
      <c r="A1642" s="24"/>
      <c r="B1642" s="24"/>
      <c r="C1642" s="24"/>
      <c r="D1642" s="7"/>
      <c r="E1642" s="7"/>
      <c r="F1642" s="22"/>
      <c r="G1642" s="22"/>
      <c r="H1642" s="24"/>
      <c r="I1642" s="24"/>
      <c r="K1642" s="8"/>
    </row>
    <row r="1643">
      <c r="A1643" s="24"/>
      <c r="B1643" s="24"/>
      <c r="C1643" s="24"/>
      <c r="D1643" s="7"/>
      <c r="E1643" s="7"/>
      <c r="F1643" s="22"/>
      <c r="G1643" s="22"/>
      <c r="H1643" s="24"/>
      <c r="I1643" s="24"/>
      <c r="K1643" s="8"/>
    </row>
    <row r="1644">
      <c r="A1644" s="24"/>
      <c r="B1644" s="24"/>
      <c r="C1644" s="24"/>
      <c r="D1644" s="7"/>
      <c r="E1644" s="7"/>
      <c r="F1644" s="22"/>
      <c r="G1644" s="22"/>
      <c r="H1644" s="24"/>
      <c r="I1644" s="24"/>
      <c r="K1644" s="8"/>
    </row>
    <row r="1645">
      <c r="A1645" s="24"/>
      <c r="B1645" s="24"/>
      <c r="C1645" s="24"/>
      <c r="D1645" s="7"/>
      <c r="E1645" s="7"/>
      <c r="F1645" s="22"/>
      <c r="G1645" s="22"/>
      <c r="H1645" s="24"/>
      <c r="I1645" s="24"/>
      <c r="K1645" s="8"/>
    </row>
    <row r="1646">
      <c r="A1646" s="24"/>
      <c r="B1646" s="24"/>
      <c r="C1646" s="24"/>
      <c r="D1646" s="7"/>
      <c r="E1646" s="7"/>
      <c r="F1646" s="22"/>
      <c r="G1646" s="22"/>
      <c r="H1646" s="24"/>
      <c r="I1646" s="24"/>
      <c r="K1646" s="8"/>
    </row>
    <row r="1647">
      <c r="A1647" s="24"/>
      <c r="B1647" s="24"/>
      <c r="C1647" s="24"/>
      <c r="D1647" s="7"/>
      <c r="E1647" s="7"/>
      <c r="F1647" s="22"/>
      <c r="G1647" s="22"/>
      <c r="H1647" s="24"/>
      <c r="I1647" s="24"/>
      <c r="K1647" s="8"/>
    </row>
    <row r="1648">
      <c r="A1648" s="24"/>
      <c r="B1648" s="24"/>
      <c r="C1648" s="24"/>
      <c r="D1648" s="7"/>
      <c r="E1648" s="7"/>
      <c r="F1648" s="22"/>
      <c r="G1648" s="22"/>
      <c r="H1648" s="24"/>
      <c r="I1648" s="24"/>
      <c r="K1648" s="8"/>
    </row>
    <row r="1649">
      <c r="A1649" s="24"/>
      <c r="B1649" s="24"/>
      <c r="C1649" s="24"/>
      <c r="D1649" s="7"/>
      <c r="E1649" s="7"/>
      <c r="F1649" s="22"/>
      <c r="G1649" s="22"/>
      <c r="H1649" s="24"/>
      <c r="I1649" s="24"/>
      <c r="K1649" s="8"/>
    </row>
    <row r="1650">
      <c r="A1650" s="24"/>
      <c r="B1650" s="24"/>
      <c r="C1650" s="24"/>
      <c r="D1650" s="7"/>
      <c r="E1650" s="7"/>
      <c r="F1650" s="22"/>
      <c r="G1650" s="22"/>
      <c r="H1650" s="24"/>
      <c r="I1650" s="24"/>
      <c r="K1650" s="8"/>
    </row>
    <row r="1651">
      <c r="A1651" s="24"/>
      <c r="B1651" s="24"/>
      <c r="C1651" s="24"/>
      <c r="D1651" s="7"/>
      <c r="E1651" s="7"/>
      <c r="F1651" s="22"/>
      <c r="G1651" s="22"/>
      <c r="H1651" s="24"/>
      <c r="I1651" s="24"/>
      <c r="K1651" s="8"/>
    </row>
    <row r="1652">
      <c r="A1652" s="24"/>
      <c r="B1652" s="24"/>
      <c r="C1652" s="24"/>
      <c r="D1652" s="7"/>
      <c r="E1652" s="7"/>
      <c r="F1652" s="22"/>
      <c r="G1652" s="22"/>
      <c r="H1652" s="24"/>
      <c r="I1652" s="24"/>
      <c r="K1652" s="8"/>
    </row>
    <row r="1653">
      <c r="A1653" s="24"/>
      <c r="B1653" s="24"/>
      <c r="C1653" s="24"/>
      <c r="D1653" s="7"/>
      <c r="E1653" s="7"/>
      <c r="F1653" s="22"/>
      <c r="G1653" s="22"/>
      <c r="H1653" s="24"/>
      <c r="I1653" s="24"/>
      <c r="K1653" s="8"/>
    </row>
    <row r="1654">
      <c r="A1654" s="24"/>
      <c r="B1654" s="24"/>
      <c r="C1654" s="24"/>
      <c r="D1654" s="7"/>
      <c r="E1654" s="7"/>
      <c r="F1654" s="22"/>
      <c r="G1654" s="22"/>
      <c r="H1654" s="24"/>
      <c r="I1654" s="24"/>
      <c r="K1654" s="8"/>
    </row>
    <row r="1655">
      <c r="A1655" s="24"/>
      <c r="B1655" s="24"/>
      <c r="C1655" s="24"/>
      <c r="D1655" s="7"/>
      <c r="E1655" s="7"/>
      <c r="F1655" s="22"/>
      <c r="G1655" s="22"/>
      <c r="H1655" s="24"/>
      <c r="I1655" s="24"/>
      <c r="K1655" s="8"/>
    </row>
    <row r="1656">
      <c r="A1656" s="24"/>
      <c r="B1656" s="24"/>
      <c r="C1656" s="24"/>
      <c r="D1656" s="7"/>
      <c r="E1656" s="7"/>
      <c r="F1656" s="22"/>
      <c r="G1656" s="22"/>
      <c r="H1656" s="24"/>
      <c r="I1656" s="24"/>
      <c r="K1656" s="8"/>
    </row>
    <row r="1657">
      <c r="A1657" s="24"/>
      <c r="B1657" s="24"/>
      <c r="C1657" s="24"/>
      <c r="D1657" s="7"/>
      <c r="E1657" s="7"/>
      <c r="F1657" s="22"/>
      <c r="G1657" s="22"/>
      <c r="H1657" s="24"/>
      <c r="I1657" s="24"/>
      <c r="K1657" s="8"/>
    </row>
    <row r="1658">
      <c r="A1658" s="24"/>
      <c r="B1658" s="24"/>
      <c r="C1658" s="24"/>
      <c r="D1658" s="7"/>
      <c r="E1658" s="7"/>
      <c r="F1658" s="22"/>
      <c r="G1658" s="22"/>
      <c r="H1658" s="24"/>
      <c r="I1658" s="24"/>
      <c r="K1658" s="8"/>
    </row>
    <row r="1659">
      <c r="A1659" s="24"/>
      <c r="B1659" s="24"/>
      <c r="C1659" s="24"/>
      <c r="D1659" s="7"/>
      <c r="E1659" s="7"/>
      <c r="F1659" s="22"/>
      <c r="G1659" s="22"/>
      <c r="H1659" s="24"/>
      <c r="I1659" s="24"/>
      <c r="K1659" s="8"/>
    </row>
    <row r="1660">
      <c r="A1660" s="24"/>
      <c r="B1660" s="24"/>
      <c r="C1660" s="24"/>
      <c r="D1660" s="7"/>
      <c r="E1660" s="7"/>
      <c r="F1660" s="22"/>
      <c r="G1660" s="22"/>
      <c r="H1660" s="24"/>
      <c r="I1660" s="24"/>
      <c r="K1660" s="8"/>
    </row>
    <row r="1661">
      <c r="A1661" s="24"/>
      <c r="B1661" s="24"/>
      <c r="C1661" s="24"/>
      <c r="D1661" s="7"/>
      <c r="E1661" s="7"/>
      <c r="F1661" s="22"/>
      <c r="G1661" s="22"/>
      <c r="H1661" s="24"/>
      <c r="I1661" s="24"/>
      <c r="K1661" s="8"/>
    </row>
    <row r="1662">
      <c r="A1662" s="24"/>
      <c r="B1662" s="24"/>
      <c r="C1662" s="24"/>
      <c r="D1662" s="7"/>
      <c r="E1662" s="7"/>
      <c r="F1662" s="22"/>
      <c r="G1662" s="22"/>
      <c r="H1662" s="24"/>
      <c r="I1662" s="24"/>
      <c r="K1662" s="8"/>
    </row>
    <row r="1663">
      <c r="A1663" s="24"/>
      <c r="B1663" s="24"/>
      <c r="C1663" s="24"/>
      <c r="D1663" s="7"/>
      <c r="E1663" s="7"/>
      <c r="F1663" s="22"/>
      <c r="G1663" s="22"/>
      <c r="H1663" s="24"/>
      <c r="I1663" s="24"/>
      <c r="K1663" s="8"/>
    </row>
    <row r="1664">
      <c r="A1664" s="24"/>
      <c r="B1664" s="24"/>
      <c r="C1664" s="24"/>
      <c r="D1664" s="7"/>
      <c r="E1664" s="7"/>
      <c r="F1664" s="22"/>
      <c r="G1664" s="22"/>
      <c r="H1664" s="24"/>
      <c r="I1664" s="24"/>
      <c r="K1664" s="8"/>
    </row>
    <row r="1665">
      <c r="A1665" s="24"/>
      <c r="B1665" s="24"/>
      <c r="C1665" s="24"/>
      <c r="D1665" s="7"/>
      <c r="E1665" s="7"/>
      <c r="F1665" s="22"/>
      <c r="G1665" s="22"/>
      <c r="H1665" s="24"/>
      <c r="I1665" s="24"/>
      <c r="K1665" s="8"/>
    </row>
    <row r="1666">
      <c r="A1666" s="24"/>
      <c r="B1666" s="24"/>
      <c r="C1666" s="24"/>
      <c r="D1666" s="7"/>
      <c r="E1666" s="7"/>
      <c r="F1666" s="22"/>
      <c r="G1666" s="22"/>
      <c r="H1666" s="24"/>
      <c r="I1666" s="24"/>
      <c r="K1666" s="8"/>
    </row>
    <row r="1667">
      <c r="A1667" s="24"/>
      <c r="B1667" s="24"/>
      <c r="C1667" s="24"/>
      <c r="D1667" s="7"/>
      <c r="E1667" s="7"/>
      <c r="F1667" s="22"/>
      <c r="G1667" s="22"/>
      <c r="H1667" s="24"/>
      <c r="I1667" s="24"/>
      <c r="K1667" s="8"/>
    </row>
    <row r="1668">
      <c r="A1668" s="24"/>
      <c r="B1668" s="24"/>
      <c r="C1668" s="24"/>
      <c r="D1668" s="7"/>
      <c r="E1668" s="7"/>
      <c r="F1668" s="22"/>
      <c r="G1668" s="22"/>
      <c r="H1668" s="24"/>
      <c r="I1668" s="24"/>
      <c r="K1668" s="8"/>
    </row>
    <row r="1669">
      <c r="A1669" s="24"/>
      <c r="B1669" s="24"/>
      <c r="C1669" s="24"/>
      <c r="D1669" s="7"/>
      <c r="E1669" s="7"/>
      <c r="F1669" s="22"/>
      <c r="G1669" s="22"/>
      <c r="H1669" s="24"/>
      <c r="I1669" s="24"/>
      <c r="K1669" s="8"/>
    </row>
    <row r="1670">
      <c r="A1670" s="24"/>
      <c r="B1670" s="24"/>
      <c r="C1670" s="24"/>
      <c r="D1670" s="7"/>
      <c r="E1670" s="7"/>
      <c r="F1670" s="22"/>
      <c r="G1670" s="22"/>
      <c r="H1670" s="24"/>
      <c r="I1670" s="24"/>
      <c r="K1670" s="8"/>
    </row>
    <row r="1671">
      <c r="A1671" s="24"/>
      <c r="B1671" s="24"/>
      <c r="C1671" s="24"/>
      <c r="D1671" s="7"/>
      <c r="E1671" s="7"/>
      <c r="F1671" s="22"/>
      <c r="G1671" s="22"/>
      <c r="H1671" s="24"/>
      <c r="I1671" s="24"/>
      <c r="K1671" s="8"/>
    </row>
    <row r="1672">
      <c r="A1672" s="24"/>
      <c r="B1672" s="24"/>
      <c r="C1672" s="24"/>
      <c r="D1672" s="7"/>
      <c r="E1672" s="7"/>
      <c r="F1672" s="22"/>
      <c r="G1672" s="22"/>
      <c r="H1672" s="24"/>
      <c r="I1672" s="24"/>
      <c r="K1672" s="8"/>
    </row>
    <row r="1673">
      <c r="A1673" s="24"/>
      <c r="B1673" s="24"/>
      <c r="C1673" s="24"/>
      <c r="D1673" s="7"/>
      <c r="E1673" s="7"/>
      <c r="F1673" s="22"/>
      <c r="G1673" s="22"/>
      <c r="H1673" s="24"/>
      <c r="I1673" s="24"/>
      <c r="K1673" s="8"/>
    </row>
    <row r="1674">
      <c r="A1674" s="24"/>
      <c r="B1674" s="24"/>
      <c r="C1674" s="24"/>
      <c r="D1674" s="7"/>
      <c r="E1674" s="7"/>
      <c r="F1674" s="22"/>
      <c r="G1674" s="22"/>
      <c r="H1674" s="24"/>
      <c r="I1674" s="24"/>
      <c r="K1674" s="8"/>
    </row>
    <row r="1675">
      <c r="A1675" s="24"/>
      <c r="B1675" s="24"/>
      <c r="C1675" s="24"/>
      <c r="D1675" s="7"/>
      <c r="E1675" s="7"/>
      <c r="F1675" s="22"/>
      <c r="G1675" s="22"/>
      <c r="H1675" s="24"/>
      <c r="I1675" s="24"/>
      <c r="K1675" s="8"/>
    </row>
    <row r="1676">
      <c r="A1676" s="24"/>
      <c r="B1676" s="24"/>
      <c r="C1676" s="24"/>
      <c r="D1676" s="7"/>
      <c r="E1676" s="7"/>
      <c r="F1676" s="22"/>
      <c r="G1676" s="22"/>
      <c r="H1676" s="24"/>
      <c r="I1676" s="24"/>
      <c r="K1676" s="8"/>
    </row>
    <row r="1677">
      <c r="A1677" s="24"/>
      <c r="B1677" s="24"/>
      <c r="C1677" s="24"/>
      <c r="D1677" s="7"/>
      <c r="E1677" s="7"/>
      <c r="F1677" s="22"/>
      <c r="G1677" s="22"/>
      <c r="H1677" s="24"/>
      <c r="I1677" s="24"/>
      <c r="K1677" s="8"/>
    </row>
    <row r="1678">
      <c r="A1678" s="24"/>
      <c r="B1678" s="24"/>
      <c r="C1678" s="24"/>
      <c r="D1678" s="7"/>
      <c r="E1678" s="7"/>
      <c r="F1678" s="22"/>
      <c r="G1678" s="22"/>
      <c r="H1678" s="24"/>
      <c r="I1678" s="24"/>
      <c r="K1678" s="8"/>
    </row>
    <row r="1679">
      <c r="A1679" s="24"/>
      <c r="B1679" s="24"/>
      <c r="C1679" s="24"/>
      <c r="D1679" s="7"/>
      <c r="E1679" s="7"/>
      <c r="F1679" s="22"/>
      <c r="G1679" s="22"/>
      <c r="H1679" s="24"/>
      <c r="I1679" s="24"/>
      <c r="K1679" s="8"/>
    </row>
    <row r="1680">
      <c r="A1680" s="24"/>
      <c r="B1680" s="24"/>
      <c r="C1680" s="24"/>
      <c r="D1680" s="7"/>
      <c r="E1680" s="7"/>
      <c r="F1680" s="22"/>
      <c r="G1680" s="22"/>
      <c r="H1680" s="24"/>
      <c r="I1680" s="24"/>
      <c r="K1680" s="8"/>
    </row>
    <row r="1681">
      <c r="A1681" s="24"/>
      <c r="B1681" s="24"/>
      <c r="C1681" s="24"/>
      <c r="D1681" s="7"/>
      <c r="E1681" s="7"/>
      <c r="F1681" s="22"/>
      <c r="G1681" s="22"/>
      <c r="H1681" s="24"/>
      <c r="I1681" s="24"/>
      <c r="K1681" s="8"/>
    </row>
    <row r="1682">
      <c r="A1682" s="24"/>
      <c r="B1682" s="24"/>
      <c r="C1682" s="24"/>
      <c r="D1682" s="7"/>
      <c r="E1682" s="7"/>
      <c r="F1682" s="22"/>
      <c r="G1682" s="22"/>
      <c r="H1682" s="24"/>
      <c r="I1682" s="24"/>
      <c r="K1682" s="8"/>
    </row>
    <row r="1683">
      <c r="A1683" s="24"/>
      <c r="B1683" s="24"/>
      <c r="C1683" s="24"/>
      <c r="D1683" s="7"/>
      <c r="E1683" s="7"/>
      <c r="F1683" s="22"/>
      <c r="G1683" s="22"/>
      <c r="H1683" s="24"/>
      <c r="I1683" s="24"/>
      <c r="K1683" s="8"/>
    </row>
    <row r="1684">
      <c r="A1684" s="24"/>
      <c r="B1684" s="24"/>
      <c r="C1684" s="24"/>
      <c r="D1684" s="7"/>
      <c r="E1684" s="7"/>
      <c r="F1684" s="22"/>
      <c r="G1684" s="22"/>
      <c r="H1684" s="24"/>
      <c r="I1684" s="24"/>
      <c r="K1684" s="8"/>
    </row>
    <row r="1685">
      <c r="A1685" s="24"/>
      <c r="B1685" s="24"/>
      <c r="C1685" s="24"/>
      <c r="D1685" s="7"/>
      <c r="E1685" s="7"/>
      <c r="F1685" s="22"/>
      <c r="G1685" s="22"/>
      <c r="H1685" s="24"/>
      <c r="I1685" s="24"/>
      <c r="K1685" s="8"/>
    </row>
    <row r="1686">
      <c r="A1686" s="24"/>
      <c r="B1686" s="24"/>
      <c r="C1686" s="24"/>
      <c r="D1686" s="7"/>
      <c r="E1686" s="7"/>
      <c r="F1686" s="22"/>
      <c r="G1686" s="22"/>
      <c r="H1686" s="24"/>
      <c r="I1686" s="24"/>
      <c r="K1686" s="8"/>
    </row>
    <row r="1687">
      <c r="A1687" s="24"/>
      <c r="B1687" s="24"/>
      <c r="C1687" s="24"/>
      <c r="D1687" s="7"/>
      <c r="E1687" s="7"/>
      <c r="F1687" s="22"/>
      <c r="G1687" s="22"/>
      <c r="H1687" s="24"/>
      <c r="I1687" s="24"/>
      <c r="K1687" s="8"/>
    </row>
    <row r="1688">
      <c r="A1688" s="24"/>
      <c r="B1688" s="24"/>
      <c r="C1688" s="24"/>
      <c r="D1688" s="7"/>
      <c r="E1688" s="7"/>
      <c r="F1688" s="22"/>
      <c r="G1688" s="22"/>
      <c r="H1688" s="24"/>
      <c r="I1688" s="24"/>
      <c r="K1688" s="8"/>
    </row>
    <row r="1689">
      <c r="A1689" s="24"/>
      <c r="B1689" s="24"/>
      <c r="C1689" s="24"/>
      <c r="D1689" s="7"/>
      <c r="E1689" s="7"/>
      <c r="F1689" s="22"/>
      <c r="G1689" s="22"/>
      <c r="H1689" s="24"/>
      <c r="I1689" s="24"/>
      <c r="K1689" s="8"/>
    </row>
    <row r="1690">
      <c r="A1690" s="24"/>
      <c r="B1690" s="24"/>
      <c r="C1690" s="24"/>
      <c r="D1690" s="7"/>
      <c r="E1690" s="7"/>
      <c r="F1690" s="22"/>
      <c r="G1690" s="22"/>
      <c r="H1690" s="24"/>
      <c r="I1690" s="24"/>
      <c r="K1690" s="8"/>
    </row>
    <row r="1691">
      <c r="A1691" s="24"/>
      <c r="B1691" s="24"/>
      <c r="C1691" s="24"/>
      <c r="D1691" s="7"/>
      <c r="E1691" s="7"/>
      <c r="F1691" s="22"/>
      <c r="G1691" s="22"/>
      <c r="H1691" s="24"/>
      <c r="I1691" s="24"/>
      <c r="K1691" s="8"/>
    </row>
    <row r="1692">
      <c r="A1692" s="24"/>
      <c r="B1692" s="24"/>
      <c r="C1692" s="24"/>
      <c r="D1692" s="7"/>
      <c r="E1692" s="7"/>
      <c r="F1692" s="22"/>
      <c r="G1692" s="22"/>
      <c r="H1692" s="24"/>
      <c r="I1692" s="24"/>
      <c r="K1692" s="8"/>
    </row>
    <row r="1693">
      <c r="A1693" s="24"/>
      <c r="B1693" s="24"/>
      <c r="C1693" s="24"/>
      <c r="D1693" s="7"/>
      <c r="E1693" s="7"/>
      <c r="F1693" s="22"/>
      <c r="G1693" s="22"/>
      <c r="H1693" s="24"/>
      <c r="I1693" s="24"/>
      <c r="K1693" s="8"/>
    </row>
    <row r="1694">
      <c r="A1694" s="24"/>
      <c r="B1694" s="24"/>
      <c r="C1694" s="24"/>
      <c r="D1694" s="7"/>
      <c r="E1694" s="7"/>
      <c r="F1694" s="22"/>
      <c r="G1694" s="22"/>
      <c r="H1694" s="24"/>
      <c r="I1694" s="24"/>
      <c r="K1694" s="8"/>
    </row>
    <row r="1695">
      <c r="A1695" s="24"/>
      <c r="B1695" s="24"/>
      <c r="C1695" s="24"/>
      <c r="D1695" s="7"/>
      <c r="E1695" s="7"/>
      <c r="F1695" s="22"/>
      <c r="G1695" s="22"/>
      <c r="H1695" s="24"/>
      <c r="I1695" s="24"/>
      <c r="K1695" s="8"/>
    </row>
    <row r="1696">
      <c r="A1696" s="24"/>
      <c r="B1696" s="24"/>
      <c r="C1696" s="24"/>
      <c r="D1696" s="7"/>
      <c r="E1696" s="7"/>
      <c r="F1696" s="22"/>
      <c r="G1696" s="22"/>
      <c r="H1696" s="24"/>
      <c r="I1696" s="24"/>
      <c r="K1696" s="8"/>
    </row>
    <row r="1697">
      <c r="A1697" s="24"/>
      <c r="B1697" s="24"/>
      <c r="C1697" s="24"/>
      <c r="D1697" s="7"/>
      <c r="E1697" s="7"/>
      <c r="F1697" s="22"/>
      <c r="G1697" s="22"/>
      <c r="H1697" s="24"/>
      <c r="I1697" s="24"/>
      <c r="K1697" s="8"/>
    </row>
    <row r="1698">
      <c r="A1698" s="24"/>
      <c r="B1698" s="24"/>
      <c r="C1698" s="24"/>
      <c r="D1698" s="7"/>
      <c r="E1698" s="7"/>
      <c r="F1698" s="22"/>
      <c r="G1698" s="22"/>
      <c r="H1698" s="24"/>
      <c r="I1698" s="24"/>
      <c r="K1698" s="8"/>
    </row>
    <row r="1699">
      <c r="A1699" s="24"/>
      <c r="B1699" s="24"/>
      <c r="C1699" s="24"/>
      <c r="D1699" s="7"/>
      <c r="E1699" s="7"/>
      <c r="F1699" s="22"/>
      <c r="G1699" s="22"/>
      <c r="H1699" s="24"/>
      <c r="I1699" s="24"/>
      <c r="K1699" s="8"/>
    </row>
    <row r="1700">
      <c r="A1700" s="24"/>
      <c r="B1700" s="24"/>
      <c r="C1700" s="24"/>
      <c r="D1700" s="7"/>
      <c r="E1700" s="7"/>
      <c r="F1700" s="22"/>
      <c r="G1700" s="22"/>
      <c r="H1700" s="24"/>
      <c r="I1700" s="24"/>
      <c r="K1700" s="8"/>
    </row>
    <row r="1701">
      <c r="A1701" s="24"/>
      <c r="B1701" s="24"/>
      <c r="C1701" s="24"/>
      <c r="D1701" s="7"/>
      <c r="E1701" s="7"/>
      <c r="F1701" s="22"/>
      <c r="G1701" s="22"/>
      <c r="H1701" s="24"/>
      <c r="I1701" s="24"/>
      <c r="K1701" s="8"/>
    </row>
    <row r="1702">
      <c r="A1702" s="24"/>
      <c r="B1702" s="24"/>
      <c r="C1702" s="24"/>
      <c r="D1702" s="7"/>
      <c r="E1702" s="7"/>
      <c r="F1702" s="22"/>
      <c r="G1702" s="22"/>
      <c r="H1702" s="24"/>
      <c r="I1702" s="24"/>
      <c r="K1702" s="8"/>
    </row>
    <row r="1703">
      <c r="A1703" s="24"/>
      <c r="B1703" s="24"/>
      <c r="C1703" s="24"/>
      <c r="D1703" s="7"/>
      <c r="E1703" s="7"/>
      <c r="F1703" s="22"/>
      <c r="G1703" s="22"/>
      <c r="H1703" s="24"/>
      <c r="I1703" s="24"/>
      <c r="K1703" s="8"/>
    </row>
    <row r="1704">
      <c r="A1704" s="24"/>
      <c r="B1704" s="24"/>
      <c r="C1704" s="24"/>
      <c r="D1704" s="7"/>
      <c r="E1704" s="7"/>
      <c r="F1704" s="22"/>
      <c r="G1704" s="22"/>
      <c r="H1704" s="24"/>
      <c r="I1704" s="24"/>
      <c r="K1704" s="8"/>
    </row>
    <row r="1705">
      <c r="A1705" s="24"/>
      <c r="B1705" s="24"/>
      <c r="C1705" s="24"/>
      <c r="D1705" s="7"/>
      <c r="E1705" s="7"/>
      <c r="F1705" s="22"/>
      <c r="G1705" s="22"/>
      <c r="H1705" s="24"/>
      <c r="I1705" s="24"/>
      <c r="K1705" s="8"/>
    </row>
    <row r="1706">
      <c r="A1706" s="24"/>
      <c r="B1706" s="24"/>
      <c r="C1706" s="24"/>
      <c r="D1706" s="7"/>
      <c r="E1706" s="7"/>
      <c r="F1706" s="22"/>
      <c r="G1706" s="22"/>
      <c r="H1706" s="24"/>
      <c r="I1706" s="24"/>
      <c r="K1706" s="8"/>
    </row>
    <row r="1707">
      <c r="A1707" s="24"/>
      <c r="B1707" s="24"/>
      <c r="C1707" s="24"/>
      <c r="D1707" s="7"/>
      <c r="E1707" s="7"/>
      <c r="F1707" s="22"/>
      <c r="G1707" s="22"/>
      <c r="H1707" s="24"/>
      <c r="I1707" s="24"/>
      <c r="K1707" s="8"/>
    </row>
    <row r="1708">
      <c r="A1708" s="24"/>
      <c r="B1708" s="24"/>
      <c r="C1708" s="24"/>
      <c r="D1708" s="7"/>
      <c r="E1708" s="7"/>
      <c r="F1708" s="22"/>
      <c r="G1708" s="22"/>
      <c r="H1708" s="24"/>
      <c r="I1708" s="24"/>
      <c r="K1708" s="8"/>
    </row>
    <row r="1709">
      <c r="A1709" s="24"/>
      <c r="B1709" s="24"/>
      <c r="C1709" s="24"/>
      <c r="D1709" s="7"/>
      <c r="E1709" s="7"/>
      <c r="F1709" s="22"/>
      <c r="G1709" s="22"/>
      <c r="H1709" s="24"/>
      <c r="I1709" s="24"/>
      <c r="K1709" s="8"/>
    </row>
    <row r="1710">
      <c r="A1710" s="24"/>
      <c r="B1710" s="24"/>
      <c r="C1710" s="24"/>
      <c r="D1710" s="7"/>
      <c r="E1710" s="7"/>
      <c r="F1710" s="22"/>
      <c r="G1710" s="22"/>
      <c r="H1710" s="24"/>
      <c r="I1710" s="24"/>
      <c r="K1710" s="8"/>
    </row>
    <row r="1711">
      <c r="A1711" s="24"/>
      <c r="B1711" s="24"/>
      <c r="C1711" s="24"/>
      <c r="D1711" s="7"/>
      <c r="E1711" s="7"/>
      <c r="F1711" s="22"/>
      <c r="G1711" s="22"/>
      <c r="H1711" s="24"/>
      <c r="I1711" s="24"/>
      <c r="K1711" s="8"/>
    </row>
    <row r="1712">
      <c r="A1712" s="24"/>
      <c r="B1712" s="24"/>
      <c r="C1712" s="24"/>
      <c r="D1712" s="7"/>
      <c r="E1712" s="7"/>
      <c r="F1712" s="22"/>
      <c r="G1712" s="22"/>
      <c r="H1712" s="24"/>
      <c r="I1712" s="24"/>
      <c r="K1712" s="8"/>
    </row>
    <row r="1713">
      <c r="A1713" s="24"/>
      <c r="B1713" s="24"/>
      <c r="C1713" s="24"/>
      <c r="D1713" s="7"/>
      <c r="E1713" s="7"/>
      <c r="F1713" s="22"/>
      <c r="G1713" s="22"/>
      <c r="H1713" s="24"/>
      <c r="I1713" s="24"/>
      <c r="K1713" s="8"/>
    </row>
    <row r="1714">
      <c r="A1714" s="24"/>
      <c r="B1714" s="24"/>
      <c r="C1714" s="24"/>
      <c r="D1714" s="7"/>
      <c r="E1714" s="7"/>
      <c r="F1714" s="22"/>
      <c r="G1714" s="22"/>
      <c r="H1714" s="24"/>
      <c r="I1714" s="24"/>
      <c r="K1714" s="8"/>
    </row>
    <row r="1715">
      <c r="A1715" s="24"/>
      <c r="B1715" s="24"/>
      <c r="C1715" s="24"/>
      <c r="D1715" s="7"/>
      <c r="E1715" s="7"/>
      <c r="F1715" s="22"/>
      <c r="G1715" s="22"/>
      <c r="H1715" s="24"/>
      <c r="I1715" s="24"/>
      <c r="K1715" s="8"/>
    </row>
    <row r="1716">
      <c r="A1716" s="24"/>
      <c r="B1716" s="24"/>
      <c r="C1716" s="24"/>
      <c r="D1716" s="7"/>
      <c r="E1716" s="7"/>
      <c r="F1716" s="22"/>
      <c r="G1716" s="22"/>
      <c r="H1716" s="24"/>
      <c r="I1716" s="24"/>
      <c r="K1716" s="8"/>
    </row>
    <row r="1717">
      <c r="A1717" s="24"/>
      <c r="B1717" s="24"/>
      <c r="C1717" s="24"/>
      <c r="D1717" s="7"/>
      <c r="E1717" s="7"/>
      <c r="F1717" s="22"/>
      <c r="G1717" s="22"/>
      <c r="H1717" s="24"/>
      <c r="I1717" s="24"/>
      <c r="K1717" s="8"/>
    </row>
    <row r="1718">
      <c r="A1718" s="24"/>
      <c r="B1718" s="24"/>
      <c r="C1718" s="24"/>
      <c r="D1718" s="7"/>
      <c r="E1718" s="7"/>
      <c r="F1718" s="22"/>
      <c r="G1718" s="22"/>
      <c r="H1718" s="24"/>
      <c r="I1718" s="24"/>
      <c r="K1718" s="8"/>
    </row>
    <row r="1719">
      <c r="A1719" s="24"/>
      <c r="B1719" s="24"/>
      <c r="C1719" s="24"/>
      <c r="D1719" s="7"/>
      <c r="E1719" s="7"/>
      <c r="F1719" s="22"/>
      <c r="G1719" s="22"/>
      <c r="H1719" s="24"/>
      <c r="I1719" s="24"/>
      <c r="K1719" s="8"/>
    </row>
    <row r="1720">
      <c r="A1720" s="24"/>
      <c r="B1720" s="24"/>
      <c r="C1720" s="24"/>
      <c r="D1720" s="7"/>
      <c r="E1720" s="7"/>
      <c r="F1720" s="22"/>
      <c r="G1720" s="22"/>
      <c r="H1720" s="24"/>
      <c r="I1720" s="24"/>
      <c r="K1720" s="8"/>
    </row>
    <row r="1721">
      <c r="A1721" s="24"/>
      <c r="B1721" s="24"/>
      <c r="C1721" s="24"/>
      <c r="D1721" s="7"/>
      <c r="E1721" s="7"/>
      <c r="F1721" s="22"/>
      <c r="G1721" s="22"/>
      <c r="H1721" s="24"/>
      <c r="I1721" s="24"/>
      <c r="K1721" s="8"/>
    </row>
    <row r="1722">
      <c r="A1722" s="24"/>
      <c r="B1722" s="24"/>
      <c r="C1722" s="24"/>
      <c r="D1722" s="7"/>
      <c r="E1722" s="7"/>
      <c r="F1722" s="22"/>
      <c r="G1722" s="22"/>
      <c r="H1722" s="24"/>
      <c r="I1722" s="24"/>
      <c r="K1722" s="8"/>
    </row>
    <row r="1723">
      <c r="A1723" s="24"/>
      <c r="B1723" s="24"/>
      <c r="C1723" s="24"/>
      <c r="D1723" s="7"/>
      <c r="E1723" s="7"/>
      <c r="F1723" s="22"/>
      <c r="G1723" s="22"/>
      <c r="H1723" s="24"/>
      <c r="I1723" s="24"/>
      <c r="K1723" s="8"/>
    </row>
    <row r="1724">
      <c r="A1724" s="24"/>
      <c r="B1724" s="24"/>
      <c r="C1724" s="24"/>
      <c r="D1724" s="7"/>
      <c r="E1724" s="7"/>
      <c r="F1724" s="22"/>
      <c r="G1724" s="22"/>
      <c r="H1724" s="24"/>
      <c r="I1724" s="24"/>
      <c r="K1724" s="8"/>
    </row>
    <row r="1725">
      <c r="A1725" s="24"/>
      <c r="B1725" s="24"/>
      <c r="C1725" s="24"/>
      <c r="D1725" s="7"/>
      <c r="E1725" s="7"/>
      <c r="F1725" s="22"/>
      <c r="G1725" s="22"/>
      <c r="H1725" s="24"/>
      <c r="I1725" s="24"/>
      <c r="K1725" s="8"/>
    </row>
    <row r="1726">
      <c r="A1726" s="24"/>
      <c r="B1726" s="24"/>
      <c r="C1726" s="24"/>
      <c r="D1726" s="7"/>
      <c r="E1726" s="7"/>
      <c r="F1726" s="22"/>
      <c r="G1726" s="22"/>
      <c r="H1726" s="24"/>
      <c r="I1726" s="24"/>
      <c r="K1726" s="8"/>
    </row>
    <row r="1727">
      <c r="A1727" s="24"/>
      <c r="B1727" s="24"/>
      <c r="C1727" s="24"/>
      <c r="D1727" s="7"/>
      <c r="E1727" s="7"/>
      <c r="F1727" s="22"/>
      <c r="G1727" s="22"/>
      <c r="H1727" s="24"/>
      <c r="I1727" s="24"/>
      <c r="K1727" s="8"/>
    </row>
    <row r="1728">
      <c r="A1728" s="24"/>
      <c r="B1728" s="24"/>
      <c r="C1728" s="24"/>
      <c r="D1728" s="7"/>
      <c r="E1728" s="7"/>
      <c r="F1728" s="22"/>
      <c r="G1728" s="22"/>
      <c r="H1728" s="24"/>
      <c r="I1728" s="24"/>
      <c r="K1728" s="8"/>
    </row>
    <row r="1729">
      <c r="A1729" s="24"/>
      <c r="B1729" s="24"/>
      <c r="C1729" s="24"/>
      <c r="D1729" s="7"/>
      <c r="E1729" s="7"/>
      <c r="F1729" s="22"/>
      <c r="G1729" s="22"/>
      <c r="H1729" s="24"/>
      <c r="I1729" s="24"/>
      <c r="K1729" s="8"/>
    </row>
    <row r="1730">
      <c r="A1730" s="24"/>
      <c r="B1730" s="24"/>
      <c r="C1730" s="24"/>
      <c r="D1730" s="7"/>
      <c r="E1730" s="7"/>
      <c r="F1730" s="22"/>
      <c r="G1730" s="22"/>
      <c r="H1730" s="24"/>
      <c r="I1730" s="24"/>
      <c r="K1730" s="8"/>
    </row>
    <row r="1731">
      <c r="A1731" s="24"/>
      <c r="B1731" s="24"/>
      <c r="C1731" s="24"/>
      <c r="D1731" s="7"/>
      <c r="E1731" s="7"/>
      <c r="F1731" s="22"/>
      <c r="G1731" s="22"/>
      <c r="H1731" s="24"/>
      <c r="I1731" s="24"/>
      <c r="K1731" s="8"/>
    </row>
    <row r="1732">
      <c r="A1732" s="24"/>
      <c r="B1732" s="24"/>
      <c r="C1732" s="24"/>
      <c r="D1732" s="7"/>
      <c r="E1732" s="7"/>
      <c r="F1732" s="22"/>
      <c r="G1732" s="22"/>
      <c r="H1732" s="24"/>
      <c r="I1732" s="24"/>
      <c r="K1732" s="8"/>
    </row>
    <row r="1733">
      <c r="A1733" s="24"/>
      <c r="B1733" s="24"/>
      <c r="C1733" s="24"/>
      <c r="D1733" s="7"/>
      <c r="E1733" s="7"/>
      <c r="F1733" s="22"/>
      <c r="G1733" s="22"/>
      <c r="H1733" s="24"/>
      <c r="I1733" s="24"/>
      <c r="K1733" s="8"/>
    </row>
    <row r="1734">
      <c r="A1734" s="24"/>
      <c r="B1734" s="24"/>
      <c r="C1734" s="24"/>
      <c r="D1734" s="7"/>
      <c r="E1734" s="7"/>
      <c r="F1734" s="22"/>
      <c r="G1734" s="22"/>
      <c r="H1734" s="24"/>
      <c r="I1734" s="24"/>
      <c r="K1734" s="8"/>
    </row>
    <row r="1735">
      <c r="A1735" s="24"/>
      <c r="B1735" s="24"/>
      <c r="C1735" s="24"/>
      <c r="D1735" s="7"/>
      <c r="E1735" s="7"/>
      <c r="F1735" s="22"/>
      <c r="G1735" s="22"/>
      <c r="H1735" s="24"/>
      <c r="I1735" s="24"/>
      <c r="K1735" s="8"/>
    </row>
    <row r="1736">
      <c r="A1736" s="24"/>
      <c r="B1736" s="24"/>
      <c r="C1736" s="24"/>
      <c r="D1736" s="7"/>
      <c r="E1736" s="7"/>
      <c r="F1736" s="22"/>
      <c r="G1736" s="22"/>
      <c r="H1736" s="24"/>
      <c r="I1736" s="24"/>
      <c r="K1736" s="8"/>
    </row>
    <row r="1737">
      <c r="A1737" s="24"/>
      <c r="B1737" s="24"/>
      <c r="C1737" s="24"/>
      <c r="D1737" s="7"/>
      <c r="E1737" s="7"/>
      <c r="F1737" s="22"/>
      <c r="G1737" s="22"/>
      <c r="H1737" s="24"/>
      <c r="I1737" s="24"/>
      <c r="K1737" s="8"/>
    </row>
    <row r="1738">
      <c r="A1738" s="24"/>
      <c r="B1738" s="24"/>
      <c r="C1738" s="24"/>
      <c r="D1738" s="7"/>
      <c r="E1738" s="7"/>
      <c r="F1738" s="22"/>
      <c r="G1738" s="22"/>
      <c r="H1738" s="24"/>
      <c r="I1738" s="24"/>
      <c r="K1738" s="8"/>
    </row>
    <row r="1739">
      <c r="A1739" s="24"/>
      <c r="B1739" s="24"/>
      <c r="C1739" s="24"/>
      <c r="D1739" s="7"/>
      <c r="E1739" s="7"/>
      <c r="F1739" s="22"/>
      <c r="G1739" s="22"/>
      <c r="H1739" s="24"/>
      <c r="I1739" s="24"/>
      <c r="K1739" s="8"/>
    </row>
    <row r="1740">
      <c r="A1740" s="24"/>
      <c r="B1740" s="24"/>
      <c r="C1740" s="24"/>
      <c r="D1740" s="7"/>
      <c r="E1740" s="7"/>
      <c r="F1740" s="22"/>
      <c r="G1740" s="22"/>
      <c r="H1740" s="24"/>
      <c r="I1740" s="24"/>
      <c r="K1740" s="8"/>
    </row>
    <row r="1741">
      <c r="A1741" s="24"/>
      <c r="B1741" s="24"/>
      <c r="C1741" s="24"/>
      <c r="D1741" s="7"/>
      <c r="E1741" s="7"/>
      <c r="F1741" s="22"/>
      <c r="G1741" s="22"/>
      <c r="H1741" s="24"/>
      <c r="I1741" s="24"/>
      <c r="K1741" s="8"/>
    </row>
    <row r="1742">
      <c r="A1742" s="24"/>
      <c r="B1742" s="24"/>
      <c r="C1742" s="24"/>
      <c r="D1742" s="7"/>
      <c r="E1742" s="7"/>
      <c r="F1742" s="22"/>
      <c r="G1742" s="22"/>
      <c r="H1742" s="24"/>
      <c r="I1742" s="24"/>
      <c r="K1742" s="8"/>
    </row>
    <row r="1743">
      <c r="A1743" s="24"/>
      <c r="B1743" s="24"/>
      <c r="C1743" s="24"/>
      <c r="D1743" s="7"/>
      <c r="E1743" s="7"/>
      <c r="F1743" s="22"/>
      <c r="G1743" s="22"/>
      <c r="H1743" s="24"/>
      <c r="I1743" s="24"/>
      <c r="K1743" s="8"/>
    </row>
    <row r="1744">
      <c r="A1744" s="24"/>
      <c r="B1744" s="24"/>
      <c r="C1744" s="24"/>
      <c r="D1744" s="7"/>
      <c r="E1744" s="7"/>
      <c r="F1744" s="22"/>
      <c r="G1744" s="22"/>
      <c r="H1744" s="24"/>
      <c r="I1744" s="24"/>
      <c r="K1744" s="8"/>
    </row>
    <row r="1745">
      <c r="A1745" s="24"/>
      <c r="B1745" s="24"/>
      <c r="C1745" s="24"/>
      <c r="D1745" s="7"/>
      <c r="E1745" s="7"/>
      <c r="F1745" s="22"/>
      <c r="G1745" s="22"/>
      <c r="H1745" s="24"/>
      <c r="I1745" s="24"/>
      <c r="K1745" s="8"/>
    </row>
    <row r="1746">
      <c r="A1746" s="24"/>
      <c r="B1746" s="24"/>
      <c r="C1746" s="24"/>
      <c r="D1746" s="7"/>
      <c r="E1746" s="7"/>
      <c r="F1746" s="22"/>
      <c r="G1746" s="22"/>
      <c r="H1746" s="24"/>
      <c r="I1746" s="24"/>
      <c r="K1746" s="8"/>
    </row>
    <row r="1747">
      <c r="A1747" s="24"/>
      <c r="B1747" s="24"/>
      <c r="C1747" s="24"/>
      <c r="D1747" s="7"/>
      <c r="E1747" s="7"/>
      <c r="F1747" s="22"/>
      <c r="G1747" s="22"/>
      <c r="H1747" s="24"/>
      <c r="I1747" s="24"/>
      <c r="K1747" s="8"/>
    </row>
    <row r="1748">
      <c r="A1748" s="24"/>
      <c r="B1748" s="24"/>
      <c r="C1748" s="24"/>
      <c r="D1748" s="7"/>
      <c r="E1748" s="7"/>
      <c r="F1748" s="22"/>
      <c r="G1748" s="22"/>
      <c r="H1748" s="24"/>
      <c r="I1748" s="24"/>
      <c r="K1748" s="8"/>
    </row>
    <row r="1749">
      <c r="A1749" s="24"/>
      <c r="B1749" s="24"/>
      <c r="C1749" s="24"/>
      <c r="D1749" s="7"/>
      <c r="E1749" s="7"/>
      <c r="F1749" s="22"/>
      <c r="G1749" s="22"/>
      <c r="H1749" s="24"/>
      <c r="I1749" s="24"/>
      <c r="K1749" s="8"/>
    </row>
    <row r="1750">
      <c r="A1750" s="24"/>
      <c r="B1750" s="24"/>
      <c r="C1750" s="24"/>
      <c r="D1750" s="7"/>
      <c r="E1750" s="7"/>
      <c r="F1750" s="22"/>
      <c r="G1750" s="22"/>
      <c r="H1750" s="24"/>
      <c r="I1750" s="24"/>
      <c r="K1750" s="8"/>
    </row>
    <row r="1751">
      <c r="A1751" s="24"/>
      <c r="B1751" s="24"/>
      <c r="C1751" s="24"/>
      <c r="D1751" s="7"/>
      <c r="E1751" s="7"/>
      <c r="F1751" s="22"/>
      <c r="G1751" s="22"/>
      <c r="H1751" s="24"/>
      <c r="I1751" s="24"/>
      <c r="K1751" s="8"/>
    </row>
    <row r="1752">
      <c r="A1752" s="24"/>
      <c r="B1752" s="24"/>
      <c r="C1752" s="24"/>
      <c r="D1752" s="7"/>
      <c r="E1752" s="7"/>
      <c r="F1752" s="22"/>
      <c r="G1752" s="22"/>
      <c r="H1752" s="24"/>
      <c r="I1752" s="24"/>
      <c r="K1752" s="8"/>
    </row>
    <row r="1753">
      <c r="A1753" s="24"/>
      <c r="B1753" s="24"/>
      <c r="C1753" s="24"/>
      <c r="D1753" s="7"/>
      <c r="E1753" s="7"/>
      <c r="F1753" s="22"/>
      <c r="G1753" s="22"/>
      <c r="H1753" s="24"/>
      <c r="I1753" s="24"/>
      <c r="K1753" s="8"/>
    </row>
    <row r="1754">
      <c r="A1754" s="24"/>
      <c r="B1754" s="24"/>
      <c r="C1754" s="24"/>
      <c r="D1754" s="7"/>
      <c r="E1754" s="7"/>
      <c r="F1754" s="22"/>
      <c r="G1754" s="22"/>
      <c r="H1754" s="24"/>
      <c r="I1754" s="24"/>
      <c r="K1754" s="8"/>
    </row>
    <row r="1755">
      <c r="A1755" s="24"/>
      <c r="B1755" s="24"/>
      <c r="C1755" s="24"/>
      <c r="D1755" s="7"/>
      <c r="E1755" s="7"/>
      <c r="F1755" s="22"/>
      <c r="G1755" s="22"/>
      <c r="H1755" s="24"/>
      <c r="I1755" s="24"/>
      <c r="K1755" s="8"/>
    </row>
    <row r="1756">
      <c r="A1756" s="24"/>
      <c r="B1756" s="24"/>
      <c r="C1756" s="24"/>
      <c r="D1756" s="7"/>
      <c r="E1756" s="7"/>
      <c r="F1756" s="22"/>
      <c r="G1756" s="22"/>
      <c r="H1756" s="24"/>
      <c r="I1756" s="24"/>
      <c r="K1756" s="8"/>
    </row>
    <row r="1757">
      <c r="A1757" s="24"/>
      <c r="B1757" s="24"/>
      <c r="C1757" s="24"/>
      <c r="D1757" s="7"/>
      <c r="E1757" s="7"/>
      <c r="F1757" s="22"/>
      <c r="G1757" s="22"/>
      <c r="H1757" s="24"/>
      <c r="I1757" s="24"/>
      <c r="K1757" s="8"/>
    </row>
    <row r="1758">
      <c r="A1758" s="24"/>
      <c r="B1758" s="24"/>
      <c r="C1758" s="24"/>
      <c r="D1758" s="7"/>
      <c r="E1758" s="7"/>
      <c r="F1758" s="22"/>
      <c r="G1758" s="22"/>
      <c r="H1758" s="24"/>
      <c r="I1758" s="24"/>
      <c r="K1758" s="8"/>
    </row>
    <row r="1759">
      <c r="A1759" s="24"/>
      <c r="B1759" s="24"/>
      <c r="C1759" s="24"/>
      <c r="D1759" s="7"/>
      <c r="E1759" s="7"/>
      <c r="F1759" s="22"/>
      <c r="G1759" s="22"/>
      <c r="H1759" s="24"/>
      <c r="I1759" s="24"/>
      <c r="K1759" s="8"/>
    </row>
    <row r="1760">
      <c r="A1760" s="24"/>
      <c r="B1760" s="24"/>
      <c r="C1760" s="24"/>
      <c r="D1760" s="7"/>
      <c r="E1760" s="7"/>
      <c r="F1760" s="22"/>
      <c r="G1760" s="22"/>
      <c r="H1760" s="24"/>
      <c r="I1760" s="24"/>
      <c r="K1760" s="8"/>
    </row>
    <row r="1761">
      <c r="A1761" s="24"/>
      <c r="B1761" s="24"/>
      <c r="C1761" s="24"/>
      <c r="D1761" s="7"/>
      <c r="E1761" s="7"/>
      <c r="F1761" s="22"/>
      <c r="G1761" s="22"/>
      <c r="H1761" s="24"/>
      <c r="I1761" s="24"/>
      <c r="K1761" s="8"/>
    </row>
    <row r="1762">
      <c r="A1762" s="24"/>
      <c r="B1762" s="24"/>
      <c r="C1762" s="24"/>
      <c r="D1762" s="7"/>
      <c r="E1762" s="7"/>
      <c r="F1762" s="22"/>
      <c r="G1762" s="22"/>
      <c r="H1762" s="24"/>
      <c r="I1762" s="24"/>
      <c r="K1762" s="8"/>
    </row>
    <row r="1763">
      <c r="A1763" s="24"/>
      <c r="B1763" s="24"/>
      <c r="C1763" s="24"/>
      <c r="D1763" s="7"/>
      <c r="E1763" s="7"/>
      <c r="F1763" s="22"/>
      <c r="G1763" s="22"/>
      <c r="H1763" s="24"/>
      <c r="I1763" s="24"/>
      <c r="K1763" s="8"/>
    </row>
    <row r="1764">
      <c r="A1764" s="24"/>
      <c r="B1764" s="24"/>
      <c r="C1764" s="24"/>
      <c r="D1764" s="7"/>
      <c r="E1764" s="7"/>
      <c r="F1764" s="22"/>
      <c r="G1764" s="22"/>
      <c r="H1764" s="24"/>
      <c r="I1764" s="24"/>
      <c r="K1764" s="8"/>
    </row>
    <row r="1765">
      <c r="A1765" s="24"/>
      <c r="B1765" s="24"/>
      <c r="C1765" s="24"/>
      <c r="D1765" s="7"/>
      <c r="E1765" s="7"/>
      <c r="F1765" s="22"/>
      <c r="G1765" s="22"/>
      <c r="H1765" s="24"/>
      <c r="I1765" s="24"/>
      <c r="K1765" s="8"/>
    </row>
    <row r="1766">
      <c r="A1766" s="24"/>
      <c r="B1766" s="24"/>
      <c r="C1766" s="24"/>
      <c r="D1766" s="7"/>
      <c r="E1766" s="7"/>
      <c r="F1766" s="22"/>
      <c r="G1766" s="22"/>
      <c r="H1766" s="24"/>
      <c r="I1766" s="24"/>
      <c r="K1766" s="8"/>
    </row>
    <row r="1767">
      <c r="A1767" s="24"/>
      <c r="B1767" s="24"/>
      <c r="C1767" s="24"/>
      <c r="D1767" s="7"/>
      <c r="E1767" s="7"/>
      <c r="F1767" s="22"/>
      <c r="G1767" s="22"/>
      <c r="H1767" s="24"/>
      <c r="I1767" s="24"/>
      <c r="K1767" s="8"/>
    </row>
    <row r="1768">
      <c r="A1768" s="24"/>
      <c r="B1768" s="24"/>
      <c r="C1768" s="24"/>
      <c r="D1768" s="7"/>
      <c r="E1768" s="7"/>
      <c r="F1768" s="22"/>
      <c r="G1768" s="22"/>
      <c r="H1768" s="24"/>
      <c r="I1768" s="24"/>
      <c r="K1768" s="8"/>
    </row>
    <row r="1769">
      <c r="A1769" s="24"/>
      <c r="B1769" s="24"/>
      <c r="C1769" s="24"/>
      <c r="D1769" s="7"/>
      <c r="E1769" s="7"/>
      <c r="F1769" s="22"/>
      <c r="G1769" s="22"/>
      <c r="H1769" s="24"/>
      <c r="I1769" s="24"/>
      <c r="K1769" s="8"/>
    </row>
    <row r="1770">
      <c r="A1770" s="24"/>
      <c r="B1770" s="24"/>
      <c r="C1770" s="24"/>
      <c r="D1770" s="7"/>
      <c r="E1770" s="7"/>
      <c r="F1770" s="22"/>
      <c r="G1770" s="22"/>
      <c r="H1770" s="24"/>
      <c r="I1770" s="24"/>
      <c r="K1770" s="8"/>
    </row>
    <row r="1771">
      <c r="A1771" s="24"/>
      <c r="B1771" s="24"/>
      <c r="C1771" s="24"/>
      <c r="D1771" s="7"/>
      <c r="E1771" s="7"/>
      <c r="F1771" s="22"/>
      <c r="G1771" s="22"/>
      <c r="H1771" s="24"/>
      <c r="I1771" s="24"/>
      <c r="K1771" s="8"/>
    </row>
    <row r="1772">
      <c r="A1772" s="24"/>
      <c r="B1772" s="24"/>
      <c r="C1772" s="24"/>
      <c r="D1772" s="7"/>
      <c r="E1772" s="7"/>
      <c r="F1772" s="22"/>
      <c r="G1772" s="22"/>
      <c r="H1772" s="24"/>
      <c r="I1772" s="24"/>
      <c r="K1772" s="8"/>
    </row>
    <row r="1773">
      <c r="A1773" s="24"/>
      <c r="B1773" s="24"/>
      <c r="C1773" s="24"/>
      <c r="D1773" s="7"/>
      <c r="E1773" s="7"/>
      <c r="F1773" s="22"/>
      <c r="G1773" s="22"/>
      <c r="H1773" s="24"/>
      <c r="I1773" s="24"/>
      <c r="K1773" s="8"/>
    </row>
    <row r="1774">
      <c r="A1774" s="24"/>
      <c r="B1774" s="24"/>
      <c r="C1774" s="24"/>
      <c r="D1774" s="7"/>
      <c r="E1774" s="7"/>
      <c r="F1774" s="22"/>
      <c r="G1774" s="22"/>
      <c r="H1774" s="24"/>
      <c r="I1774" s="24"/>
      <c r="K1774" s="8"/>
    </row>
    <row r="1775">
      <c r="A1775" s="24"/>
      <c r="B1775" s="24"/>
      <c r="C1775" s="24"/>
      <c r="D1775" s="7"/>
      <c r="E1775" s="7"/>
      <c r="F1775" s="22"/>
      <c r="G1775" s="22"/>
      <c r="H1775" s="24"/>
      <c r="I1775" s="24"/>
      <c r="K1775" s="8"/>
    </row>
    <row r="1776">
      <c r="A1776" s="24"/>
      <c r="B1776" s="24"/>
      <c r="C1776" s="24"/>
      <c r="D1776" s="7"/>
      <c r="E1776" s="7"/>
      <c r="F1776" s="22"/>
      <c r="G1776" s="22"/>
      <c r="H1776" s="24"/>
      <c r="I1776" s="24"/>
      <c r="K1776" s="8"/>
    </row>
    <row r="1777">
      <c r="A1777" s="24"/>
      <c r="B1777" s="24"/>
      <c r="C1777" s="24"/>
      <c r="D1777" s="7"/>
      <c r="E1777" s="7"/>
      <c r="F1777" s="22"/>
      <c r="G1777" s="22"/>
      <c r="H1777" s="24"/>
      <c r="I1777" s="24"/>
      <c r="K1777" s="8"/>
    </row>
    <row r="1778">
      <c r="A1778" s="24"/>
      <c r="B1778" s="24"/>
      <c r="C1778" s="24"/>
      <c r="D1778" s="7"/>
      <c r="E1778" s="7"/>
      <c r="F1778" s="22"/>
      <c r="G1778" s="22"/>
      <c r="H1778" s="24"/>
      <c r="I1778" s="24"/>
      <c r="K1778" s="8"/>
    </row>
    <row r="1779">
      <c r="A1779" s="24"/>
      <c r="B1779" s="24"/>
      <c r="C1779" s="24"/>
      <c r="D1779" s="7"/>
      <c r="E1779" s="7"/>
      <c r="F1779" s="22"/>
      <c r="G1779" s="22"/>
      <c r="H1779" s="24"/>
      <c r="I1779" s="24"/>
      <c r="K1779" s="8"/>
    </row>
    <row r="1780">
      <c r="A1780" s="24"/>
      <c r="B1780" s="24"/>
      <c r="C1780" s="24"/>
      <c r="D1780" s="7"/>
      <c r="E1780" s="7"/>
      <c r="F1780" s="22"/>
      <c r="G1780" s="22"/>
      <c r="H1780" s="24"/>
      <c r="I1780" s="24"/>
      <c r="K1780" s="8"/>
    </row>
    <row r="1781">
      <c r="A1781" s="24"/>
      <c r="B1781" s="24"/>
      <c r="C1781" s="24"/>
      <c r="D1781" s="7"/>
      <c r="E1781" s="7"/>
      <c r="F1781" s="22"/>
      <c r="G1781" s="22"/>
      <c r="H1781" s="24"/>
      <c r="I1781" s="24"/>
      <c r="K1781" s="8"/>
    </row>
    <row r="1782">
      <c r="A1782" s="24"/>
      <c r="B1782" s="24"/>
      <c r="C1782" s="24"/>
      <c r="D1782" s="7"/>
      <c r="E1782" s="7"/>
      <c r="F1782" s="22"/>
      <c r="G1782" s="22"/>
      <c r="H1782" s="24"/>
      <c r="I1782" s="24"/>
      <c r="K1782" s="8"/>
    </row>
    <row r="1783">
      <c r="A1783" s="24"/>
      <c r="B1783" s="24"/>
      <c r="C1783" s="24"/>
      <c r="D1783" s="7"/>
      <c r="E1783" s="7"/>
      <c r="F1783" s="22"/>
      <c r="G1783" s="22"/>
      <c r="H1783" s="24"/>
      <c r="I1783" s="24"/>
      <c r="K1783" s="8"/>
    </row>
    <row r="1784">
      <c r="A1784" s="24"/>
      <c r="B1784" s="24"/>
      <c r="C1784" s="24"/>
      <c r="D1784" s="7"/>
      <c r="E1784" s="7"/>
      <c r="F1784" s="22"/>
      <c r="G1784" s="22"/>
      <c r="H1784" s="24"/>
      <c r="I1784" s="24"/>
      <c r="K1784" s="8"/>
    </row>
    <row r="1785">
      <c r="A1785" s="24"/>
      <c r="B1785" s="24"/>
      <c r="C1785" s="24"/>
      <c r="D1785" s="7"/>
      <c r="E1785" s="7"/>
      <c r="F1785" s="22"/>
      <c r="G1785" s="22"/>
      <c r="H1785" s="24"/>
      <c r="I1785" s="24"/>
      <c r="K1785" s="8"/>
    </row>
    <row r="1786">
      <c r="A1786" s="24"/>
      <c r="B1786" s="24"/>
      <c r="C1786" s="24"/>
      <c r="D1786" s="7"/>
      <c r="E1786" s="7"/>
      <c r="F1786" s="22"/>
      <c r="G1786" s="22"/>
      <c r="H1786" s="24"/>
      <c r="I1786" s="24"/>
      <c r="K1786" s="8"/>
    </row>
    <row r="1787">
      <c r="A1787" s="24"/>
      <c r="B1787" s="24"/>
      <c r="C1787" s="24"/>
      <c r="D1787" s="7"/>
      <c r="E1787" s="7"/>
      <c r="F1787" s="22"/>
      <c r="G1787" s="22"/>
      <c r="H1787" s="24"/>
      <c r="I1787" s="24"/>
      <c r="K1787" s="8"/>
    </row>
    <row r="1788">
      <c r="A1788" s="24"/>
      <c r="B1788" s="24"/>
      <c r="C1788" s="24"/>
      <c r="D1788" s="7"/>
      <c r="E1788" s="7"/>
      <c r="F1788" s="22"/>
      <c r="G1788" s="22"/>
      <c r="H1788" s="24"/>
      <c r="I1788" s="24"/>
      <c r="K1788" s="8"/>
    </row>
    <row r="1789">
      <c r="A1789" s="24"/>
      <c r="B1789" s="24"/>
      <c r="C1789" s="24"/>
      <c r="D1789" s="7"/>
      <c r="E1789" s="7"/>
      <c r="F1789" s="22"/>
      <c r="G1789" s="22"/>
      <c r="H1789" s="24"/>
      <c r="I1789" s="24"/>
      <c r="K1789" s="8"/>
    </row>
    <row r="1790">
      <c r="A1790" s="24"/>
      <c r="B1790" s="24"/>
      <c r="C1790" s="24"/>
      <c r="D1790" s="7"/>
      <c r="E1790" s="7"/>
      <c r="F1790" s="22"/>
      <c r="G1790" s="22"/>
      <c r="H1790" s="24"/>
      <c r="I1790" s="24"/>
      <c r="K1790" s="8"/>
    </row>
    <row r="1791">
      <c r="A1791" s="24"/>
      <c r="B1791" s="24"/>
      <c r="C1791" s="24"/>
      <c r="D1791" s="7"/>
      <c r="E1791" s="7"/>
      <c r="F1791" s="22"/>
      <c r="G1791" s="22"/>
      <c r="H1791" s="24"/>
      <c r="I1791" s="24"/>
      <c r="K1791" s="8"/>
    </row>
    <row r="1792">
      <c r="A1792" s="24"/>
      <c r="B1792" s="24"/>
      <c r="C1792" s="24"/>
      <c r="D1792" s="7"/>
      <c r="E1792" s="7"/>
      <c r="F1792" s="22"/>
      <c r="G1792" s="22"/>
      <c r="H1792" s="24"/>
      <c r="I1792" s="24"/>
      <c r="K1792" s="8"/>
    </row>
    <row r="1793">
      <c r="A1793" s="24"/>
      <c r="B1793" s="24"/>
      <c r="C1793" s="24"/>
      <c r="D1793" s="7"/>
      <c r="E1793" s="7"/>
      <c r="F1793" s="22"/>
      <c r="G1793" s="22"/>
      <c r="H1793" s="24"/>
      <c r="I1793" s="24"/>
      <c r="K1793" s="8"/>
    </row>
    <row r="1794">
      <c r="A1794" s="24"/>
      <c r="B1794" s="24"/>
      <c r="C1794" s="24"/>
      <c r="D1794" s="7"/>
      <c r="E1794" s="7"/>
      <c r="F1794" s="22"/>
      <c r="G1794" s="22"/>
      <c r="H1794" s="24"/>
      <c r="I1794" s="24"/>
      <c r="K1794" s="8"/>
    </row>
    <row r="1795">
      <c r="A1795" s="24"/>
      <c r="B1795" s="24"/>
      <c r="C1795" s="24"/>
      <c r="D1795" s="7"/>
      <c r="E1795" s="7"/>
      <c r="F1795" s="22"/>
      <c r="G1795" s="22"/>
      <c r="H1795" s="24"/>
      <c r="I1795" s="24"/>
      <c r="K1795" s="8"/>
    </row>
    <row r="1796">
      <c r="A1796" s="24"/>
      <c r="B1796" s="24"/>
      <c r="C1796" s="24"/>
      <c r="D1796" s="7"/>
      <c r="E1796" s="7"/>
      <c r="F1796" s="22"/>
      <c r="G1796" s="22"/>
      <c r="H1796" s="24"/>
      <c r="I1796" s="24"/>
      <c r="K1796" s="8"/>
    </row>
    <row r="1797">
      <c r="A1797" s="24"/>
      <c r="B1797" s="24"/>
      <c r="C1797" s="24"/>
      <c r="D1797" s="7"/>
      <c r="E1797" s="7"/>
      <c r="F1797" s="22"/>
      <c r="G1797" s="22"/>
      <c r="H1797" s="24"/>
      <c r="I1797" s="24"/>
      <c r="K1797" s="8"/>
    </row>
    <row r="1798">
      <c r="A1798" s="24"/>
      <c r="B1798" s="24"/>
      <c r="C1798" s="24"/>
      <c r="D1798" s="7"/>
      <c r="E1798" s="7"/>
      <c r="F1798" s="22"/>
      <c r="G1798" s="22"/>
      <c r="H1798" s="24"/>
      <c r="I1798" s="24"/>
      <c r="K1798" s="8"/>
    </row>
    <row r="1799">
      <c r="A1799" s="24"/>
      <c r="B1799" s="24"/>
      <c r="C1799" s="24"/>
      <c r="D1799" s="7"/>
      <c r="E1799" s="7"/>
      <c r="F1799" s="22"/>
      <c r="G1799" s="22"/>
      <c r="H1799" s="24"/>
      <c r="I1799" s="24"/>
      <c r="K1799" s="8"/>
    </row>
    <row r="1800">
      <c r="A1800" s="24"/>
      <c r="B1800" s="24"/>
      <c r="C1800" s="24"/>
      <c r="D1800" s="7"/>
      <c r="E1800" s="7"/>
      <c r="F1800" s="22"/>
      <c r="G1800" s="22"/>
      <c r="H1800" s="24"/>
      <c r="I1800" s="24"/>
      <c r="K1800" s="8"/>
    </row>
    <row r="1801">
      <c r="A1801" s="24"/>
      <c r="B1801" s="24"/>
      <c r="C1801" s="24"/>
      <c r="D1801" s="7"/>
      <c r="E1801" s="7"/>
      <c r="F1801" s="22"/>
      <c r="G1801" s="22"/>
      <c r="H1801" s="24"/>
      <c r="I1801" s="24"/>
      <c r="K1801" s="8"/>
    </row>
    <row r="1802">
      <c r="A1802" s="24"/>
      <c r="B1802" s="24"/>
      <c r="C1802" s="24"/>
      <c r="D1802" s="7"/>
      <c r="E1802" s="7"/>
      <c r="F1802" s="22"/>
      <c r="G1802" s="22"/>
      <c r="H1802" s="24"/>
      <c r="I1802" s="24"/>
      <c r="K1802" s="8"/>
    </row>
    <row r="1803">
      <c r="A1803" s="24"/>
      <c r="B1803" s="24"/>
      <c r="C1803" s="24"/>
      <c r="D1803" s="7"/>
      <c r="E1803" s="7"/>
      <c r="F1803" s="22"/>
      <c r="G1803" s="22"/>
      <c r="H1803" s="24"/>
      <c r="I1803" s="24"/>
      <c r="K1803" s="8"/>
    </row>
    <row r="1804">
      <c r="A1804" s="24"/>
      <c r="B1804" s="24"/>
      <c r="C1804" s="24"/>
      <c r="D1804" s="7"/>
      <c r="E1804" s="7"/>
      <c r="F1804" s="22"/>
      <c r="G1804" s="22"/>
      <c r="H1804" s="24"/>
      <c r="I1804" s="24"/>
      <c r="K1804" s="8"/>
    </row>
    <row r="1805">
      <c r="A1805" s="24"/>
      <c r="B1805" s="24"/>
      <c r="C1805" s="24"/>
      <c r="D1805" s="7"/>
      <c r="E1805" s="7"/>
      <c r="F1805" s="22"/>
      <c r="G1805" s="22"/>
      <c r="H1805" s="24"/>
      <c r="I1805" s="24"/>
      <c r="K1805" s="8"/>
    </row>
    <row r="1806">
      <c r="A1806" s="24"/>
      <c r="B1806" s="24"/>
      <c r="C1806" s="24"/>
      <c r="D1806" s="7"/>
      <c r="E1806" s="7"/>
      <c r="F1806" s="22"/>
      <c r="G1806" s="22"/>
      <c r="H1806" s="24"/>
      <c r="I1806" s="24"/>
      <c r="K1806" s="8"/>
    </row>
    <row r="1807">
      <c r="A1807" s="24"/>
      <c r="B1807" s="24"/>
      <c r="C1807" s="24"/>
      <c r="D1807" s="7"/>
      <c r="E1807" s="7"/>
      <c r="F1807" s="22"/>
      <c r="G1807" s="22"/>
      <c r="H1807" s="24"/>
      <c r="I1807" s="24"/>
      <c r="K1807" s="8"/>
    </row>
    <row r="1808">
      <c r="A1808" s="24"/>
      <c r="B1808" s="24"/>
      <c r="C1808" s="24"/>
      <c r="D1808" s="7"/>
      <c r="E1808" s="7"/>
      <c r="F1808" s="22"/>
      <c r="G1808" s="22"/>
      <c r="H1808" s="24"/>
      <c r="I1808" s="24"/>
      <c r="K1808" s="8"/>
    </row>
    <row r="1809">
      <c r="A1809" s="24"/>
      <c r="B1809" s="24"/>
      <c r="C1809" s="24"/>
      <c r="D1809" s="7"/>
      <c r="E1809" s="7"/>
      <c r="F1809" s="22"/>
      <c r="G1809" s="22"/>
      <c r="H1809" s="24"/>
      <c r="I1809" s="24"/>
      <c r="K1809" s="8"/>
    </row>
    <row r="1810">
      <c r="A1810" s="24"/>
      <c r="B1810" s="24"/>
      <c r="C1810" s="24"/>
      <c r="D1810" s="7"/>
      <c r="E1810" s="7"/>
      <c r="F1810" s="22"/>
      <c r="G1810" s="22"/>
      <c r="H1810" s="24"/>
      <c r="I1810" s="24"/>
      <c r="K1810" s="8"/>
    </row>
    <row r="1811">
      <c r="A1811" s="24"/>
      <c r="B1811" s="24"/>
      <c r="C1811" s="24"/>
      <c r="D1811" s="7"/>
      <c r="E1811" s="7"/>
      <c r="F1811" s="22"/>
      <c r="G1811" s="22"/>
      <c r="H1811" s="24"/>
      <c r="I1811" s="24"/>
      <c r="K1811" s="8"/>
    </row>
    <row r="1812">
      <c r="A1812" s="24"/>
      <c r="B1812" s="24"/>
      <c r="C1812" s="24"/>
      <c r="D1812" s="7"/>
      <c r="E1812" s="7"/>
      <c r="F1812" s="22"/>
      <c r="G1812" s="22"/>
      <c r="H1812" s="24"/>
      <c r="I1812" s="24"/>
      <c r="K1812" s="8"/>
    </row>
    <row r="1813">
      <c r="A1813" s="24"/>
      <c r="B1813" s="24"/>
      <c r="C1813" s="24"/>
      <c r="D1813" s="7"/>
      <c r="E1813" s="7"/>
      <c r="F1813" s="22"/>
      <c r="G1813" s="22"/>
      <c r="H1813" s="24"/>
      <c r="I1813" s="24"/>
      <c r="K1813" s="8"/>
    </row>
    <row r="1814">
      <c r="A1814" s="24"/>
      <c r="B1814" s="24"/>
      <c r="C1814" s="24"/>
      <c r="D1814" s="7"/>
      <c r="E1814" s="7"/>
      <c r="F1814" s="22"/>
      <c r="G1814" s="22"/>
      <c r="H1814" s="24"/>
      <c r="I1814" s="24"/>
      <c r="K1814" s="8"/>
    </row>
    <row r="1815">
      <c r="A1815" s="24"/>
      <c r="B1815" s="24"/>
      <c r="C1815" s="24"/>
      <c r="D1815" s="7"/>
      <c r="E1815" s="7"/>
      <c r="F1815" s="22"/>
      <c r="G1815" s="22"/>
      <c r="H1815" s="24"/>
      <c r="I1815" s="24"/>
      <c r="K1815" s="8"/>
    </row>
    <row r="1816">
      <c r="A1816" s="24"/>
      <c r="B1816" s="24"/>
      <c r="C1816" s="24"/>
      <c r="D1816" s="7"/>
      <c r="E1816" s="7"/>
      <c r="F1816" s="22"/>
      <c r="G1816" s="22"/>
      <c r="H1816" s="24"/>
      <c r="I1816" s="24"/>
      <c r="K1816" s="8"/>
    </row>
    <row r="1817">
      <c r="A1817" s="24"/>
      <c r="B1817" s="24"/>
      <c r="C1817" s="24"/>
      <c r="D1817" s="7"/>
      <c r="E1817" s="7"/>
      <c r="F1817" s="22"/>
      <c r="G1817" s="22"/>
      <c r="H1817" s="24"/>
      <c r="I1817" s="24"/>
      <c r="K1817" s="8"/>
    </row>
    <row r="1818">
      <c r="A1818" s="24"/>
      <c r="B1818" s="24"/>
      <c r="C1818" s="24"/>
      <c r="D1818" s="7"/>
      <c r="E1818" s="7"/>
      <c r="F1818" s="22"/>
      <c r="G1818" s="22"/>
      <c r="H1818" s="24"/>
      <c r="I1818" s="24"/>
      <c r="K1818" s="8"/>
    </row>
    <row r="1819">
      <c r="A1819" s="24"/>
      <c r="B1819" s="24"/>
      <c r="C1819" s="24"/>
      <c r="D1819" s="7"/>
      <c r="E1819" s="7"/>
      <c r="F1819" s="22"/>
      <c r="G1819" s="22"/>
      <c r="H1819" s="24"/>
      <c r="I1819" s="24"/>
      <c r="K1819" s="8"/>
    </row>
    <row r="1820">
      <c r="A1820" s="24"/>
      <c r="B1820" s="24"/>
      <c r="C1820" s="24"/>
      <c r="D1820" s="7"/>
      <c r="E1820" s="7"/>
      <c r="F1820" s="22"/>
      <c r="G1820" s="22"/>
      <c r="H1820" s="24"/>
      <c r="I1820" s="24"/>
      <c r="K1820" s="8"/>
    </row>
    <row r="1821">
      <c r="A1821" s="24"/>
      <c r="B1821" s="24"/>
      <c r="C1821" s="24"/>
      <c r="D1821" s="7"/>
      <c r="E1821" s="7"/>
      <c r="F1821" s="22"/>
      <c r="G1821" s="22"/>
      <c r="H1821" s="24"/>
      <c r="I1821" s="24"/>
      <c r="K1821" s="8"/>
    </row>
    <row r="1822">
      <c r="A1822" s="24"/>
      <c r="B1822" s="24"/>
      <c r="C1822" s="24"/>
      <c r="D1822" s="7"/>
      <c r="E1822" s="7"/>
      <c r="F1822" s="22"/>
      <c r="G1822" s="22"/>
      <c r="H1822" s="24"/>
      <c r="I1822" s="24"/>
      <c r="K1822" s="8"/>
    </row>
    <row r="1823">
      <c r="A1823" s="24"/>
      <c r="B1823" s="24"/>
      <c r="C1823" s="24"/>
      <c r="D1823" s="7"/>
      <c r="E1823" s="7"/>
      <c r="F1823" s="22"/>
      <c r="G1823" s="22"/>
      <c r="H1823" s="24"/>
      <c r="I1823" s="24"/>
      <c r="K1823" s="8"/>
    </row>
    <row r="1824">
      <c r="A1824" s="24"/>
      <c r="B1824" s="24"/>
      <c r="C1824" s="24"/>
      <c r="D1824" s="7"/>
      <c r="E1824" s="7"/>
      <c r="F1824" s="22"/>
      <c r="G1824" s="22"/>
      <c r="H1824" s="24"/>
      <c r="I1824" s="24"/>
      <c r="K1824" s="8"/>
    </row>
    <row r="1825">
      <c r="A1825" s="24"/>
      <c r="B1825" s="24"/>
      <c r="C1825" s="24"/>
      <c r="D1825" s="7"/>
      <c r="E1825" s="7"/>
      <c r="F1825" s="22"/>
      <c r="G1825" s="22"/>
      <c r="H1825" s="24"/>
      <c r="I1825" s="24"/>
      <c r="K1825" s="8"/>
    </row>
    <row r="1826">
      <c r="A1826" s="24"/>
      <c r="B1826" s="24"/>
      <c r="C1826" s="24"/>
      <c r="D1826" s="7"/>
      <c r="E1826" s="7"/>
      <c r="F1826" s="22"/>
      <c r="G1826" s="22"/>
      <c r="H1826" s="24"/>
      <c r="I1826" s="24"/>
      <c r="K1826" s="8"/>
    </row>
    <row r="1827">
      <c r="A1827" s="24"/>
      <c r="B1827" s="24"/>
      <c r="C1827" s="24"/>
      <c r="D1827" s="7"/>
      <c r="E1827" s="7"/>
      <c r="F1827" s="22"/>
      <c r="G1827" s="22"/>
      <c r="H1827" s="24"/>
      <c r="I1827" s="24"/>
      <c r="K1827" s="8"/>
    </row>
    <row r="1828">
      <c r="A1828" s="24"/>
      <c r="B1828" s="24"/>
      <c r="C1828" s="24"/>
      <c r="D1828" s="7"/>
      <c r="E1828" s="7"/>
      <c r="F1828" s="22"/>
      <c r="G1828" s="22"/>
      <c r="H1828" s="24"/>
      <c r="I1828" s="24"/>
      <c r="K1828" s="8"/>
    </row>
    <row r="1829">
      <c r="A1829" s="24"/>
      <c r="B1829" s="24"/>
      <c r="C1829" s="24"/>
      <c r="D1829" s="7"/>
      <c r="E1829" s="7"/>
      <c r="F1829" s="22"/>
      <c r="G1829" s="22"/>
      <c r="H1829" s="24"/>
      <c r="I1829" s="24"/>
      <c r="K1829" s="8"/>
    </row>
    <row r="1830">
      <c r="A1830" s="24"/>
      <c r="B1830" s="24"/>
      <c r="C1830" s="24"/>
      <c r="D1830" s="7"/>
      <c r="E1830" s="7"/>
      <c r="F1830" s="22"/>
      <c r="G1830" s="22"/>
      <c r="H1830" s="24"/>
      <c r="I1830" s="24"/>
      <c r="K1830" s="8"/>
    </row>
    <row r="1831">
      <c r="A1831" s="24"/>
      <c r="B1831" s="24"/>
      <c r="C1831" s="24"/>
      <c r="D1831" s="7"/>
      <c r="E1831" s="7"/>
      <c r="F1831" s="22"/>
      <c r="G1831" s="22"/>
      <c r="H1831" s="24"/>
      <c r="I1831" s="24"/>
      <c r="K1831" s="8"/>
    </row>
    <row r="1832">
      <c r="A1832" s="24"/>
      <c r="B1832" s="24"/>
      <c r="C1832" s="24"/>
      <c r="D1832" s="7"/>
      <c r="E1832" s="7"/>
      <c r="F1832" s="22"/>
      <c r="G1832" s="22"/>
      <c r="H1832" s="24"/>
      <c r="I1832" s="24"/>
      <c r="K1832" s="8"/>
    </row>
    <row r="1833">
      <c r="A1833" s="24"/>
      <c r="B1833" s="24"/>
      <c r="C1833" s="24"/>
      <c r="D1833" s="7"/>
      <c r="E1833" s="7"/>
      <c r="F1833" s="22"/>
      <c r="G1833" s="22"/>
      <c r="H1833" s="24"/>
      <c r="I1833" s="24"/>
      <c r="K1833" s="8"/>
    </row>
    <row r="1834">
      <c r="A1834" s="24"/>
      <c r="B1834" s="24"/>
      <c r="C1834" s="24"/>
      <c r="D1834" s="7"/>
      <c r="E1834" s="7"/>
      <c r="F1834" s="22"/>
      <c r="G1834" s="22"/>
      <c r="H1834" s="24"/>
      <c r="I1834" s="24"/>
      <c r="K1834" s="8"/>
    </row>
    <row r="1835">
      <c r="A1835" s="24"/>
      <c r="B1835" s="24"/>
      <c r="C1835" s="24"/>
      <c r="D1835" s="7"/>
      <c r="E1835" s="7"/>
      <c r="F1835" s="22"/>
      <c r="G1835" s="22"/>
      <c r="H1835" s="24"/>
      <c r="I1835" s="24"/>
      <c r="K1835" s="8"/>
    </row>
    <row r="1836">
      <c r="A1836" s="24"/>
      <c r="B1836" s="24"/>
      <c r="C1836" s="24"/>
      <c r="D1836" s="7"/>
      <c r="E1836" s="7"/>
      <c r="F1836" s="22"/>
      <c r="G1836" s="22"/>
      <c r="H1836" s="24"/>
      <c r="I1836" s="24"/>
      <c r="K1836" s="8"/>
    </row>
    <row r="1837">
      <c r="A1837" s="24"/>
      <c r="B1837" s="24"/>
      <c r="C1837" s="24"/>
      <c r="D1837" s="7"/>
      <c r="E1837" s="7"/>
      <c r="F1837" s="22"/>
      <c r="G1837" s="22"/>
      <c r="H1837" s="24"/>
      <c r="I1837" s="24"/>
      <c r="K1837" s="8"/>
    </row>
    <row r="1838">
      <c r="A1838" s="24"/>
      <c r="B1838" s="24"/>
      <c r="C1838" s="24"/>
      <c r="D1838" s="7"/>
      <c r="E1838" s="7"/>
      <c r="F1838" s="22"/>
      <c r="G1838" s="22"/>
      <c r="H1838" s="24"/>
      <c r="I1838" s="24"/>
      <c r="K1838" s="8"/>
    </row>
    <row r="1839">
      <c r="A1839" s="24"/>
      <c r="B1839" s="24"/>
      <c r="C1839" s="24"/>
      <c r="D1839" s="7"/>
      <c r="E1839" s="7"/>
      <c r="F1839" s="22"/>
      <c r="G1839" s="22"/>
      <c r="H1839" s="24"/>
      <c r="I1839" s="24"/>
      <c r="K1839" s="8"/>
    </row>
    <row r="1840">
      <c r="A1840" s="24"/>
      <c r="B1840" s="24"/>
      <c r="C1840" s="24"/>
      <c r="D1840" s="7"/>
      <c r="E1840" s="7"/>
      <c r="F1840" s="22"/>
      <c r="G1840" s="22"/>
      <c r="H1840" s="24"/>
      <c r="I1840" s="24"/>
      <c r="K1840" s="8"/>
    </row>
    <row r="1841">
      <c r="A1841" s="24"/>
      <c r="B1841" s="24"/>
      <c r="C1841" s="24"/>
      <c r="D1841" s="7"/>
      <c r="E1841" s="7"/>
      <c r="F1841" s="22"/>
      <c r="G1841" s="22"/>
      <c r="H1841" s="24"/>
      <c r="I1841" s="24"/>
      <c r="K1841" s="8"/>
    </row>
    <row r="1842">
      <c r="A1842" s="24"/>
      <c r="B1842" s="24"/>
      <c r="C1842" s="24"/>
      <c r="D1842" s="7"/>
      <c r="E1842" s="7"/>
      <c r="F1842" s="22"/>
      <c r="G1842" s="22"/>
      <c r="H1842" s="24"/>
      <c r="I1842" s="24"/>
      <c r="K1842" s="8"/>
    </row>
    <row r="1843">
      <c r="A1843" s="24"/>
      <c r="B1843" s="24"/>
      <c r="C1843" s="24"/>
      <c r="D1843" s="7"/>
      <c r="E1843" s="7"/>
      <c r="F1843" s="22"/>
      <c r="G1843" s="22"/>
      <c r="H1843" s="24"/>
      <c r="I1843" s="24"/>
      <c r="K1843" s="8"/>
    </row>
    <row r="1844">
      <c r="A1844" s="24"/>
      <c r="B1844" s="24"/>
      <c r="C1844" s="24"/>
      <c r="D1844" s="7"/>
      <c r="E1844" s="7"/>
      <c r="F1844" s="22"/>
      <c r="G1844" s="22"/>
      <c r="H1844" s="24"/>
      <c r="I1844" s="24"/>
      <c r="K1844" s="8"/>
    </row>
    <row r="1845">
      <c r="A1845" s="24"/>
      <c r="B1845" s="24"/>
      <c r="C1845" s="24"/>
      <c r="D1845" s="7"/>
      <c r="E1845" s="7"/>
      <c r="F1845" s="22"/>
      <c r="G1845" s="22"/>
      <c r="H1845" s="24"/>
      <c r="I1845" s="24"/>
      <c r="K1845" s="8"/>
    </row>
    <row r="1846">
      <c r="A1846" s="24"/>
      <c r="B1846" s="24"/>
      <c r="C1846" s="24"/>
      <c r="D1846" s="7"/>
      <c r="E1846" s="7"/>
      <c r="F1846" s="22"/>
      <c r="G1846" s="22"/>
      <c r="H1846" s="24"/>
      <c r="I1846" s="24"/>
      <c r="K1846" s="8"/>
    </row>
    <row r="1847">
      <c r="A1847" s="24"/>
      <c r="B1847" s="24"/>
      <c r="C1847" s="24"/>
      <c r="D1847" s="7"/>
      <c r="E1847" s="7"/>
      <c r="F1847" s="22"/>
      <c r="G1847" s="22"/>
      <c r="H1847" s="24"/>
      <c r="I1847" s="24"/>
      <c r="K1847" s="8"/>
    </row>
    <row r="1848">
      <c r="A1848" s="24"/>
      <c r="B1848" s="24"/>
      <c r="C1848" s="24"/>
      <c r="D1848" s="7"/>
      <c r="E1848" s="7"/>
      <c r="F1848" s="22"/>
      <c r="G1848" s="22"/>
      <c r="H1848" s="24"/>
      <c r="I1848" s="24"/>
      <c r="K1848" s="8"/>
    </row>
    <row r="1849">
      <c r="A1849" s="24"/>
      <c r="B1849" s="24"/>
      <c r="C1849" s="24"/>
      <c r="D1849" s="7"/>
      <c r="E1849" s="7"/>
      <c r="F1849" s="22"/>
      <c r="G1849" s="22"/>
      <c r="H1849" s="24"/>
      <c r="I1849" s="24"/>
      <c r="K1849" s="8"/>
    </row>
    <row r="1850">
      <c r="A1850" s="24"/>
      <c r="B1850" s="24"/>
      <c r="C1850" s="24"/>
      <c r="D1850" s="7"/>
      <c r="E1850" s="7"/>
      <c r="F1850" s="22"/>
      <c r="G1850" s="22"/>
      <c r="H1850" s="24"/>
      <c r="I1850" s="24"/>
      <c r="K1850" s="8"/>
    </row>
    <row r="1851">
      <c r="A1851" s="24"/>
      <c r="B1851" s="24"/>
      <c r="C1851" s="24"/>
      <c r="D1851" s="7"/>
      <c r="E1851" s="7"/>
      <c r="F1851" s="22"/>
      <c r="G1851" s="22"/>
      <c r="H1851" s="24"/>
      <c r="I1851" s="24"/>
      <c r="K1851" s="8"/>
    </row>
    <row r="1852">
      <c r="A1852" s="24"/>
      <c r="B1852" s="24"/>
      <c r="C1852" s="24"/>
      <c r="D1852" s="7"/>
      <c r="E1852" s="7"/>
      <c r="F1852" s="22"/>
      <c r="G1852" s="22"/>
      <c r="H1852" s="24"/>
      <c r="I1852" s="24"/>
      <c r="K1852" s="8"/>
    </row>
    <row r="1853">
      <c r="A1853" s="24"/>
      <c r="B1853" s="24"/>
      <c r="C1853" s="24"/>
      <c r="D1853" s="7"/>
      <c r="E1853" s="7"/>
      <c r="F1853" s="22"/>
      <c r="G1853" s="22"/>
      <c r="H1853" s="24"/>
      <c r="I1853" s="24"/>
      <c r="K1853" s="8"/>
    </row>
    <row r="1854">
      <c r="A1854" s="24"/>
      <c r="B1854" s="24"/>
      <c r="C1854" s="24"/>
      <c r="D1854" s="7"/>
      <c r="E1854" s="7"/>
      <c r="F1854" s="22"/>
      <c r="G1854" s="22"/>
      <c r="H1854" s="24"/>
      <c r="I1854" s="24"/>
      <c r="K1854" s="8"/>
    </row>
    <row r="1855">
      <c r="A1855" s="24"/>
      <c r="B1855" s="24"/>
      <c r="C1855" s="24"/>
      <c r="D1855" s="7"/>
      <c r="E1855" s="7"/>
      <c r="F1855" s="22"/>
      <c r="G1855" s="22"/>
      <c r="H1855" s="24"/>
      <c r="I1855" s="24"/>
      <c r="K1855" s="8"/>
    </row>
    <row r="1856">
      <c r="A1856" s="24"/>
      <c r="B1856" s="24"/>
      <c r="C1856" s="24"/>
      <c r="D1856" s="7"/>
      <c r="E1856" s="7"/>
      <c r="F1856" s="22"/>
      <c r="G1856" s="22"/>
      <c r="H1856" s="24"/>
      <c r="I1856" s="24"/>
      <c r="K1856" s="8"/>
    </row>
    <row r="1857">
      <c r="A1857" s="24"/>
      <c r="B1857" s="24"/>
      <c r="C1857" s="24"/>
      <c r="D1857" s="7"/>
      <c r="E1857" s="7"/>
      <c r="F1857" s="22"/>
      <c r="G1857" s="22"/>
      <c r="H1857" s="24"/>
      <c r="I1857" s="24"/>
      <c r="K1857" s="8"/>
    </row>
    <row r="1858">
      <c r="A1858" s="24"/>
      <c r="B1858" s="24"/>
      <c r="C1858" s="24"/>
      <c r="D1858" s="7"/>
      <c r="E1858" s="7"/>
      <c r="F1858" s="22"/>
      <c r="G1858" s="22"/>
      <c r="H1858" s="24"/>
      <c r="I1858" s="24"/>
      <c r="K1858" s="8"/>
    </row>
    <row r="1859">
      <c r="A1859" s="24"/>
      <c r="B1859" s="24"/>
      <c r="C1859" s="24"/>
      <c r="D1859" s="7"/>
      <c r="E1859" s="7"/>
      <c r="F1859" s="22"/>
      <c r="G1859" s="22"/>
      <c r="H1859" s="24"/>
      <c r="I1859" s="24"/>
      <c r="K1859" s="8"/>
    </row>
    <row r="1860">
      <c r="A1860" s="24"/>
      <c r="B1860" s="24"/>
      <c r="C1860" s="24"/>
      <c r="D1860" s="7"/>
      <c r="E1860" s="7"/>
      <c r="F1860" s="22"/>
      <c r="G1860" s="22"/>
      <c r="H1860" s="24"/>
      <c r="I1860" s="24"/>
      <c r="K1860" s="8"/>
    </row>
    <row r="1861">
      <c r="A1861" s="24"/>
      <c r="B1861" s="24"/>
      <c r="C1861" s="24"/>
      <c r="D1861" s="7"/>
      <c r="E1861" s="7"/>
      <c r="F1861" s="22"/>
      <c r="G1861" s="22"/>
      <c r="H1861" s="24"/>
      <c r="I1861" s="24"/>
      <c r="K1861" s="8"/>
    </row>
    <row r="1862">
      <c r="A1862" s="24"/>
      <c r="B1862" s="24"/>
      <c r="C1862" s="24"/>
      <c r="D1862" s="7"/>
      <c r="E1862" s="7"/>
      <c r="F1862" s="22"/>
      <c r="G1862" s="22"/>
      <c r="H1862" s="24"/>
      <c r="I1862" s="24"/>
      <c r="K1862" s="8"/>
    </row>
    <row r="1863">
      <c r="A1863" s="24"/>
      <c r="B1863" s="24"/>
      <c r="C1863" s="24"/>
      <c r="D1863" s="7"/>
      <c r="E1863" s="7"/>
      <c r="F1863" s="22"/>
      <c r="G1863" s="22"/>
      <c r="H1863" s="24"/>
      <c r="I1863" s="24"/>
      <c r="K1863" s="8"/>
    </row>
    <row r="1864">
      <c r="A1864" s="24"/>
      <c r="B1864" s="24"/>
      <c r="C1864" s="24"/>
      <c r="D1864" s="7"/>
      <c r="E1864" s="7"/>
      <c r="F1864" s="22"/>
      <c r="G1864" s="22"/>
      <c r="H1864" s="24"/>
      <c r="I1864" s="24"/>
      <c r="K1864" s="8"/>
    </row>
    <row r="1865">
      <c r="A1865" s="24"/>
      <c r="B1865" s="24"/>
      <c r="C1865" s="24"/>
      <c r="D1865" s="7"/>
      <c r="E1865" s="7"/>
      <c r="F1865" s="22"/>
      <c r="G1865" s="22"/>
      <c r="H1865" s="24"/>
      <c r="I1865" s="24"/>
      <c r="K1865" s="8"/>
    </row>
    <row r="1866">
      <c r="A1866" s="24"/>
      <c r="B1866" s="24"/>
      <c r="C1866" s="24"/>
      <c r="D1866" s="7"/>
      <c r="E1866" s="7"/>
      <c r="F1866" s="22"/>
      <c r="G1866" s="22"/>
      <c r="H1866" s="24"/>
      <c r="I1866" s="24"/>
      <c r="K1866" s="8"/>
    </row>
    <row r="1867">
      <c r="A1867" s="24"/>
      <c r="B1867" s="24"/>
      <c r="C1867" s="24"/>
      <c r="D1867" s="7"/>
      <c r="E1867" s="7"/>
      <c r="F1867" s="22"/>
      <c r="G1867" s="22"/>
      <c r="H1867" s="24"/>
      <c r="I1867" s="24"/>
      <c r="K1867" s="8"/>
    </row>
    <row r="1868">
      <c r="A1868" s="24"/>
      <c r="B1868" s="24"/>
      <c r="C1868" s="24"/>
      <c r="D1868" s="7"/>
      <c r="E1868" s="7"/>
      <c r="F1868" s="22"/>
      <c r="G1868" s="22"/>
      <c r="H1868" s="24"/>
      <c r="I1868" s="24"/>
      <c r="K1868" s="8"/>
    </row>
    <row r="1869">
      <c r="A1869" s="24"/>
      <c r="B1869" s="24"/>
      <c r="C1869" s="24"/>
      <c r="D1869" s="7"/>
      <c r="E1869" s="7"/>
      <c r="F1869" s="22"/>
      <c r="G1869" s="22"/>
      <c r="H1869" s="24"/>
      <c r="I1869" s="24"/>
      <c r="K1869" s="8"/>
    </row>
    <row r="1870">
      <c r="A1870" s="24"/>
      <c r="B1870" s="24"/>
      <c r="C1870" s="24"/>
      <c r="D1870" s="7"/>
      <c r="E1870" s="7"/>
      <c r="F1870" s="22"/>
      <c r="G1870" s="22"/>
      <c r="H1870" s="24"/>
      <c r="I1870" s="24"/>
      <c r="K1870" s="8"/>
    </row>
    <row r="1871">
      <c r="A1871" s="24"/>
      <c r="B1871" s="24"/>
      <c r="C1871" s="24"/>
      <c r="D1871" s="7"/>
      <c r="E1871" s="7"/>
      <c r="F1871" s="22"/>
      <c r="G1871" s="22"/>
      <c r="H1871" s="24"/>
      <c r="I1871" s="24"/>
      <c r="K1871" s="8"/>
    </row>
    <row r="1872">
      <c r="A1872" s="24"/>
      <c r="B1872" s="24"/>
      <c r="C1872" s="24"/>
      <c r="D1872" s="7"/>
      <c r="E1872" s="7"/>
      <c r="F1872" s="22"/>
      <c r="G1872" s="22"/>
      <c r="H1872" s="24"/>
      <c r="I1872" s="24"/>
      <c r="K1872" s="8"/>
    </row>
    <row r="1873">
      <c r="A1873" s="24"/>
      <c r="B1873" s="24"/>
      <c r="C1873" s="24"/>
      <c r="D1873" s="7"/>
      <c r="E1873" s="7"/>
      <c r="F1873" s="22"/>
      <c r="G1873" s="22"/>
      <c r="H1873" s="24"/>
      <c r="I1873" s="24"/>
      <c r="K1873" s="8"/>
    </row>
    <row r="1874">
      <c r="A1874" s="24"/>
      <c r="B1874" s="24"/>
      <c r="C1874" s="24"/>
      <c r="D1874" s="7"/>
      <c r="E1874" s="7"/>
      <c r="F1874" s="22"/>
      <c r="G1874" s="22"/>
      <c r="H1874" s="24"/>
      <c r="I1874" s="24"/>
      <c r="K1874" s="8"/>
    </row>
    <row r="1875">
      <c r="A1875" s="24"/>
      <c r="B1875" s="24"/>
      <c r="C1875" s="24"/>
      <c r="D1875" s="7"/>
      <c r="E1875" s="7"/>
      <c r="F1875" s="22"/>
      <c r="G1875" s="22"/>
      <c r="H1875" s="24"/>
      <c r="I1875" s="24"/>
      <c r="K1875" s="8"/>
    </row>
    <row r="1876">
      <c r="A1876" s="24"/>
      <c r="B1876" s="24"/>
      <c r="C1876" s="24"/>
      <c r="D1876" s="7"/>
      <c r="E1876" s="7"/>
      <c r="F1876" s="22"/>
      <c r="G1876" s="22"/>
      <c r="H1876" s="24"/>
      <c r="I1876" s="24"/>
      <c r="K1876" s="8"/>
    </row>
    <row r="1877">
      <c r="A1877" s="24"/>
      <c r="B1877" s="24"/>
      <c r="C1877" s="24"/>
      <c r="D1877" s="7"/>
      <c r="E1877" s="7"/>
      <c r="F1877" s="22"/>
      <c r="G1877" s="22"/>
      <c r="H1877" s="24"/>
      <c r="I1877" s="24"/>
      <c r="K1877" s="8"/>
    </row>
    <row r="1878">
      <c r="A1878" s="24"/>
      <c r="B1878" s="24"/>
      <c r="C1878" s="24"/>
      <c r="D1878" s="7"/>
      <c r="E1878" s="7"/>
      <c r="F1878" s="22"/>
      <c r="G1878" s="22"/>
      <c r="H1878" s="24"/>
      <c r="I1878" s="24"/>
      <c r="K1878" s="8"/>
    </row>
    <row r="1879">
      <c r="A1879" s="24"/>
      <c r="B1879" s="24"/>
      <c r="C1879" s="24"/>
      <c r="D1879" s="7"/>
      <c r="E1879" s="7"/>
      <c r="F1879" s="22"/>
      <c r="G1879" s="22"/>
      <c r="H1879" s="24"/>
      <c r="I1879" s="24"/>
      <c r="K1879" s="8"/>
    </row>
    <row r="1880">
      <c r="A1880" s="24"/>
      <c r="B1880" s="24"/>
      <c r="C1880" s="24"/>
      <c r="D1880" s="7"/>
      <c r="E1880" s="7"/>
      <c r="F1880" s="22"/>
      <c r="G1880" s="22"/>
      <c r="H1880" s="24"/>
      <c r="I1880" s="24"/>
      <c r="K1880" s="8"/>
    </row>
    <row r="1881">
      <c r="A1881" s="24"/>
      <c r="B1881" s="24"/>
      <c r="C1881" s="24"/>
      <c r="D1881" s="7"/>
      <c r="E1881" s="7"/>
      <c r="F1881" s="22"/>
      <c r="G1881" s="22"/>
      <c r="H1881" s="24"/>
      <c r="I1881" s="24"/>
      <c r="K1881" s="8"/>
    </row>
    <row r="1882">
      <c r="A1882" s="24"/>
      <c r="B1882" s="24"/>
      <c r="C1882" s="24"/>
      <c r="D1882" s="7"/>
      <c r="E1882" s="7"/>
      <c r="F1882" s="22"/>
      <c r="G1882" s="22"/>
      <c r="H1882" s="24"/>
      <c r="I1882" s="24"/>
      <c r="K1882" s="8"/>
    </row>
    <row r="1883">
      <c r="A1883" s="24"/>
      <c r="B1883" s="24"/>
      <c r="C1883" s="24"/>
      <c r="D1883" s="7"/>
      <c r="E1883" s="7"/>
      <c r="F1883" s="22"/>
      <c r="G1883" s="22"/>
      <c r="H1883" s="24"/>
      <c r="I1883" s="24"/>
      <c r="K1883" s="8"/>
    </row>
    <row r="1884">
      <c r="A1884" s="24"/>
      <c r="B1884" s="24"/>
      <c r="C1884" s="24"/>
      <c r="D1884" s="7"/>
      <c r="E1884" s="7"/>
      <c r="F1884" s="22"/>
      <c r="G1884" s="22"/>
      <c r="H1884" s="24"/>
      <c r="I1884" s="24"/>
      <c r="K1884" s="8"/>
    </row>
    <row r="1885">
      <c r="A1885" s="24"/>
      <c r="B1885" s="24"/>
      <c r="C1885" s="24"/>
      <c r="D1885" s="7"/>
      <c r="E1885" s="7"/>
      <c r="F1885" s="22"/>
      <c r="G1885" s="22"/>
      <c r="H1885" s="24"/>
      <c r="I1885" s="24"/>
      <c r="K1885" s="8"/>
    </row>
    <row r="1886">
      <c r="A1886" s="24"/>
      <c r="B1886" s="24"/>
      <c r="C1886" s="24"/>
      <c r="D1886" s="7"/>
      <c r="E1886" s="7"/>
      <c r="F1886" s="22"/>
      <c r="G1886" s="22"/>
      <c r="H1886" s="24"/>
      <c r="I1886" s="24"/>
      <c r="K1886" s="8"/>
    </row>
    <row r="1887">
      <c r="A1887" s="24"/>
      <c r="B1887" s="24"/>
      <c r="C1887" s="24"/>
      <c r="D1887" s="7"/>
      <c r="E1887" s="7"/>
      <c r="F1887" s="22"/>
      <c r="G1887" s="22"/>
      <c r="H1887" s="24"/>
      <c r="I1887" s="24"/>
      <c r="K1887" s="8"/>
    </row>
    <row r="1888">
      <c r="A1888" s="24"/>
      <c r="B1888" s="24"/>
      <c r="C1888" s="24"/>
      <c r="D1888" s="7"/>
      <c r="E1888" s="7"/>
      <c r="F1888" s="22"/>
      <c r="G1888" s="22"/>
      <c r="H1888" s="24"/>
      <c r="I1888" s="24"/>
      <c r="K1888" s="8"/>
    </row>
    <row r="1889">
      <c r="A1889" s="24"/>
      <c r="B1889" s="24"/>
      <c r="C1889" s="24"/>
      <c r="D1889" s="7"/>
      <c r="E1889" s="7"/>
      <c r="F1889" s="22"/>
      <c r="G1889" s="22"/>
      <c r="H1889" s="24"/>
      <c r="I1889" s="24"/>
      <c r="K1889" s="8"/>
    </row>
    <row r="1890">
      <c r="A1890" s="24"/>
      <c r="B1890" s="24"/>
      <c r="C1890" s="24"/>
      <c r="D1890" s="7"/>
      <c r="E1890" s="7"/>
      <c r="F1890" s="22"/>
      <c r="G1890" s="22"/>
      <c r="H1890" s="24"/>
      <c r="I1890" s="24"/>
      <c r="K1890" s="8"/>
    </row>
    <row r="1891">
      <c r="A1891" s="24"/>
      <c r="B1891" s="24"/>
      <c r="C1891" s="24"/>
      <c r="D1891" s="7"/>
      <c r="E1891" s="7"/>
      <c r="F1891" s="22"/>
      <c r="G1891" s="22"/>
      <c r="H1891" s="24"/>
      <c r="I1891" s="24"/>
      <c r="K1891" s="8"/>
    </row>
    <row r="1892">
      <c r="A1892" s="24"/>
      <c r="B1892" s="24"/>
      <c r="C1892" s="24"/>
      <c r="D1892" s="7"/>
      <c r="E1892" s="7"/>
      <c r="F1892" s="22"/>
      <c r="G1892" s="22"/>
      <c r="H1892" s="24"/>
      <c r="I1892" s="24"/>
      <c r="K1892" s="8"/>
    </row>
    <row r="1893">
      <c r="A1893" s="24"/>
      <c r="B1893" s="24"/>
      <c r="C1893" s="24"/>
      <c r="D1893" s="7"/>
      <c r="E1893" s="7"/>
      <c r="F1893" s="22"/>
      <c r="G1893" s="22"/>
      <c r="H1893" s="24"/>
      <c r="I1893" s="24"/>
      <c r="K1893" s="8"/>
    </row>
    <row r="1894">
      <c r="A1894" s="24"/>
      <c r="B1894" s="24"/>
      <c r="C1894" s="24"/>
      <c r="D1894" s="7"/>
      <c r="E1894" s="7"/>
      <c r="F1894" s="22"/>
      <c r="G1894" s="22"/>
      <c r="H1894" s="24"/>
      <c r="I1894" s="24"/>
      <c r="K1894" s="8"/>
    </row>
    <row r="1895">
      <c r="A1895" s="24"/>
      <c r="B1895" s="24"/>
      <c r="C1895" s="24"/>
      <c r="D1895" s="7"/>
      <c r="E1895" s="7"/>
      <c r="F1895" s="22"/>
      <c r="G1895" s="22"/>
      <c r="H1895" s="24"/>
      <c r="I1895" s="24"/>
      <c r="K1895" s="8"/>
    </row>
    <row r="1896">
      <c r="A1896" s="24"/>
      <c r="B1896" s="24"/>
      <c r="C1896" s="24"/>
      <c r="D1896" s="7"/>
      <c r="E1896" s="7"/>
      <c r="F1896" s="22"/>
      <c r="G1896" s="22"/>
      <c r="H1896" s="24"/>
      <c r="I1896" s="24"/>
      <c r="K1896" s="8"/>
    </row>
    <row r="1897">
      <c r="A1897" s="24"/>
      <c r="B1897" s="24"/>
      <c r="C1897" s="24"/>
      <c r="D1897" s="7"/>
      <c r="E1897" s="7"/>
      <c r="F1897" s="22"/>
      <c r="G1897" s="22"/>
      <c r="H1897" s="24"/>
      <c r="I1897" s="24"/>
      <c r="K1897" s="8"/>
    </row>
    <row r="1898">
      <c r="A1898" s="24"/>
      <c r="B1898" s="24"/>
      <c r="C1898" s="24"/>
      <c r="D1898" s="7"/>
      <c r="E1898" s="7"/>
      <c r="F1898" s="22"/>
      <c r="G1898" s="22"/>
      <c r="H1898" s="24"/>
      <c r="I1898" s="24"/>
      <c r="K1898" s="8"/>
    </row>
    <row r="1899">
      <c r="A1899" s="24"/>
      <c r="B1899" s="24"/>
      <c r="C1899" s="24"/>
      <c r="D1899" s="7"/>
      <c r="E1899" s="7"/>
      <c r="F1899" s="22"/>
      <c r="G1899" s="22"/>
      <c r="H1899" s="24"/>
      <c r="I1899" s="24"/>
      <c r="K1899" s="8"/>
    </row>
    <row r="1900">
      <c r="A1900" s="24"/>
      <c r="B1900" s="24"/>
      <c r="C1900" s="24"/>
      <c r="D1900" s="7"/>
      <c r="E1900" s="7"/>
      <c r="F1900" s="22"/>
      <c r="G1900" s="22"/>
      <c r="H1900" s="24"/>
      <c r="I1900" s="24"/>
      <c r="K1900" s="8"/>
    </row>
    <row r="1901">
      <c r="A1901" s="24"/>
      <c r="B1901" s="24"/>
      <c r="C1901" s="24"/>
      <c r="D1901" s="7"/>
      <c r="E1901" s="7"/>
      <c r="F1901" s="22"/>
      <c r="G1901" s="22"/>
      <c r="H1901" s="24"/>
      <c r="I1901" s="24"/>
      <c r="K1901" s="8"/>
    </row>
    <row r="1902">
      <c r="A1902" s="24"/>
      <c r="B1902" s="24"/>
      <c r="C1902" s="24"/>
      <c r="D1902" s="7"/>
      <c r="E1902" s="7"/>
      <c r="F1902" s="22"/>
      <c r="G1902" s="22"/>
      <c r="H1902" s="24"/>
      <c r="I1902" s="24"/>
      <c r="K1902" s="8"/>
    </row>
    <row r="1903">
      <c r="A1903" s="24"/>
      <c r="B1903" s="24"/>
      <c r="C1903" s="24"/>
      <c r="D1903" s="7"/>
      <c r="E1903" s="7"/>
      <c r="F1903" s="22"/>
      <c r="G1903" s="22"/>
      <c r="H1903" s="24"/>
      <c r="I1903" s="24"/>
      <c r="K1903" s="8"/>
    </row>
    <row r="1904">
      <c r="A1904" s="24"/>
      <c r="B1904" s="24"/>
      <c r="C1904" s="24"/>
      <c r="D1904" s="7"/>
      <c r="E1904" s="7"/>
      <c r="F1904" s="22"/>
      <c r="G1904" s="22"/>
      <c r="H1904" s="24"/>
      <c r="I1904" s="24"/>
      <c r="K1904" s="8"/>
    </row>
    <row r="1905">
      <c r="A1905" s="24"/>
      <c r="B1905" s="24"/>
      <c r="C1905" s="24"/>
      <c r="D1905" s="7"/>
      <c r="E1905" s="7"/>
      <c r="F1905" s="22"/>
      <c r="G1905" s="22"/>
      <c r="H1905" s="24"/>
      <c r="I1905" s="24"/>
      <c r="K1905" s="8"/>
    </row>
    <row r="1906">
      <c r="A1906" s="24"/>
      <c r="B1906" s="24"/>
      <c r="C1906" s="24"/>
      <c r="D1906" s="7"/>
      <c r="E1906" s="7"/>
      <c r="F1906" s="22"/>
      <c r="G1906" s="22"/>
      <c r="H1906" s="24"/>
      <c r="I1906" s="24"/>
      <c r="K1906" s="8"/>
    </row>
    <row r="1907">
      <c r="A1907" s="24"/>
      <c r="B1907" s="24"/>
      <c r="C1907" s="24"/>
      <c r="D1907" s="7"/>
      <c r="E1907" s="7"/>
      <c r="F1907" s="22"/>
      <c r="G1907" s="22"/>
      <c r="H1907" s="24"/>
      <c r="I1907" s="24"/>
      <c r="K1907" s="8"/>
    </row>
    <row r="1908">
      <c r="A1908" s="24"/>
      <c r="B1908" s="24"/>
      <c r="C1908" s="24"/>
      <c r="D1908" s="7"/>
      <c r="E1908" s="7"/>
      <c r="F1908" s="22"/>
      <c r="G1908" s="22"/>
      <c r="H1908" s="24"/>
      <c r="I1908" s="24"/>
      <c r="K1908" s="8"/>
    </row>
    <row r="1909">
      <c r="A1909" s="24"/>
      <c r="B1909" s="24"/>
      <c r="C1909" s="24"/>
      <c r="D1909" s="7"/>
      <c r="E1909" s="7"/>
      <c r="F1909" s="22"/>
      <c r="G1909" s="22"/>
      <c r="H1909" s="24"/>
      <c r="I1909" s="24"/>
      <c r="K1909" s="8"/>
    </row>
    <row r="1910">
      <c r="A1910" s="24"/>
      <c r="B1910" s="24"/>
      <c r="C1910" s="24"/>
      <c r="D1910" s="7"/>
      <c r="E1910" s="7"/>
      <c r="F1910" s="22"/>
      <c r="G1910" s="22"/>
      <c r="H1910" s="24"/>
      <c r="I1910" s="24"/>
      <c r="K1910" s="8"/>
    </row>
    <row r="1911">
      <c r="A1911" s="24"/>
      <c r="B1911" s="24"/>
      <c r="C1911" s="24"/>
      <c r="D1911" s="7"/>
      <c r="E1911" s="7"/>
      <c r="F1911" s="22"/>
      <c r="G1911" s="22"/>
      <c r="H1911" s="24"/>
      <c r="I1911" s="24"/>
      <c r="K1911" s="8"/>
    </row>
    <row r="1912">
      <c r="A1912" s="24"/>
      <c r="B1912" s="24"/>
      <c r="C1912" s="24"/>
      <c r="D1912" s="7"/>
      <c r="E1912" s="7"/>
      <c r="F1912" s="22"/>
      <c r="G1912" s="22"/>
      <c r="H1912" s="24"/>
      <c r="I1912" s="24"/>
      <c r="K1912" s="8"/>
    </row>
    <row r="1913">
      <c r="A1913" s="24"/>
      <c r="B1913" s="24"/>
      <c r="C1913" s="24"/>
      <c r="D1913" s="7"/>
      <c r="E1913" s="7"/>
      <c r="F1913" s="22"/>
      <c r="G1913" s="22"/>
      <c r="H1913" s="24"/>
      <c r="I1913" s="24"/>
      <c r="K1913" s="8"/>
    </row>
    <row r="1914">
      <c r="A1914" s="24"/>
      <c r="B1914" s="24"/>
      <c r="C1914" s="24"/>
      <c r="D1914" s="7"/>
      <c r="E1914" s="7"/>
      <c r="F1914" s="22"/>
      <c r="G1914" s="22"/>
      <c r="H1914" s="24"/>
      <c r="I1914" s="24"/>
      <c r="K1914" s="8"/>
    </row>
    <row r="1915">
      <c r="A1915" s="24"/>
      <c r="B1915" s="24"/>
      <c r="C1915" s="24"/>
      <c r="D1915" s="7"/>
      <c r="E1915" s="7"/>
      <c r="F1915" s="22"/>
      <c r="G1915" s="22"/>
      <c r="H1915" s="24"/>
      <c r="I1915" s="24"/>
      <c r="K1915" s="8"/>
    </row>
    <row r="1916">
      <c r="A1916" s="24"/>
      <c r="B1916" s="24"/>
      <c r="C1916" s="24"/>
      <c r="D1916" s="7"/>
      <c r="E1916" s="7"/>
      <c r="F1916" s="22"/>
      <c r="G1916" s="22"/>
      <c r="H1916" s="24"/>
      <c r="I1916" s="24"/>
      <c r="K1916" s="8"/>
    </row>
    <row r="1917">
      <c r="A1917" s="24"/>
      <c r="B1917" s="24"/>
      <c r="C1917" s="24"/>
      <c r="D1917" s="7"/>
      <c r="E1917" s="7"/>
      <c r="F1917" s="22"/>
      <c r="G1917" s="22"/>
      <c r="H1917" s="24"/>
      <c r="I1917" s="24"/>
      <c r="K1917" s="8"/>
    </row>
    <row r="1918">
      <c r="A1918" s="24"/>
      <c r="B1918" s="24"/>
      <c r="C1918" s="24"/>
      <c r="D1918" s="7"/>
      <c r="E1918" s="7"/>
      <c r="F1918" s="22"/>
      <c r="G1918" s="22"/>
      <c r="H1918" s="24"/>
      <c r="I1918" s="24"/>
      <c r="K1918" s="8"/>
    </row>
    <row r="1919">
      <c r="A1919" s="24"/>
      <c r="B1919" s="24"/>
      <c r="C1919" s="24"/>
      <c r="D1919" s="7"/>
      <c r="E1919" s="7"/>
      <c r="F1919" s="22"/>
      <c r="G1919" s="22"/>
      <c r="H1919" s="24"/>
      <c r="I1919" s="24"/>
      <c r="K1919" s="8"/>
    </row>
    <row r="1920">
      <c r="A1920" s="24"/>
      <c r="B1920" s="24"/>
      <c r="C1920" s="24"/>
      <c r="D1920" s="7"/>
      <c r="E1920" s="7"/>
      <c r="F1920" s="22"/>
      <c r="G1920" s="22"/>
      <c r="H1920" s="24"/>
      <c r="I1920" s="24"/>
      <c r="K1920" s="8"/>
    </row>
    <row r="1921">
      <c r="A1921" s="24"/>
      <c r="B1921" s="24"/>
      <c r="C1921" s="24"/>
      <c r="D1921" s="7"/>
      <c r="E1921" s="7"/>
      <c r="F1921" s="22"/>
      <c r="G1921" s="22"/>
      <c r="H1921" s="24"/>
      <c r="I1921" s="24"/>
      <c r="K1921" s="8"/>
    </row>
    <row r="1922">
      <c r="A1922" s="24"/>
      <c r="B1922" s="24"/>
      <c r="C1922" s="24"/>
      <c r="D1922" s="7"/>
      <c r="E1922" s="7"/>
      <c r="F1922" s="22"/>
      <c r="G1922" s="22"/>
      <c r="H1922" s="24"/>
      <c r="I1922" s="24"/>
      <c r="K1922" s="8"/>
    </row>
    <row r="1923">
      <c r="A1923" s="24"/>
      <c r="B1923" s="24"/>
      <c r="C1923" s="24"/>
      <c r="D1923" s="7"/>
      <c r="E1923" s="7"/>
      <c r="F1923" s="22"/>
      <c r="G1923" s="22"/>
      <c r="H1923" s="24"/>
      <c r="I1923" s="24"/>
      <c r="K1923" s="8"/>
    </row>
    <row r="1924">
      <c r="A1924" s="24"/>
      <c r="B1924" s="24"/>
      <c r="C1924" s="24"/>
      <c r="D1924" s="7"/>
      <c r="E1924" s="7"/>
      <c r="F1924" s="22"/>
      <c r="G1924" s="22"/>
      <c r="H1924" s="24"/>
      <c r="I1924" s="24"/>
      <c r="K1924" s="8"/>
    </row>
    <row r="1925">
      <c r="A1925" s="24"/>
      <c r="B1925" s="24"/>
      <c r="C1925" s="24"/>
      <c r="D1925" s="7"/>
      <c r="E1925" s="7"/>
      <c r="F1925" s="22"/>
      <c r="G1925" s="22"/>
      <c r="H1925" s="24"/>
      <c r="I1925" s="24"/>
      <c r="K1925" s="8"/>
    </row>
    <row r="1926">
      <c r="A1926" s="24"/>
      <c r="B1926" s="24"/>
      <c r="C1926" s="24"/>
      <c r="D1926" s="7"/>
      <c r="E1926" s="7"/>
      <c r="F1926" s="22"/>
      <c r="G1926" s="22"/>
      <c r="H1926" s="24"/>
      <c r="I1926" s="24"/>
      <c r="K1926" s="8"/>
    </row>
    <row r="1927">
      <c r="A1927" s="24"/>
      <c r="B1927" s="24"/>
      <c r="C1927" s="24"/>
      <c r="D1927" s="7"/>
      <c r="E1927" s="7"/>
      <c r="F1927" s="22"/>
      <c r="G1927" s="22"/>
      <c r="H1927" s="24"/>
      <c r="I1927" s="24"/>
      <c r="K1927" s="8"/>
    </row>
    <row r="1928">
      <c r="A1928" s="24"/>
      <c r="B1928" s="24"/>
      <c r="C1928" s="24"/>
      <c r="D1928" s="7"/>
      <c r="E1928" s="7"/>
      <c r="F1928" s="22"/>
      <c r="G1928" s="22"/>
      <c r="H1928" s="24"/>
      <c r="I1928" s="24"/>
      <c r="K1928" s="8"/>
    </row>
    <row r="1929">
      <c r="A1929" s="24"/>
      <c r="B1929" s="24"/>
      <c r="C1929" s="24"/>
      <c r="D1929" s="7"/>
      <c r="E1929" s="7"/>
      <c r="F1929" s="22"/>
      <c r="G1929" s="22"/>
      <c r="H1929" s="24"/>
      <c r="I1929" s="24"/>
      <c r="K1929" s="8"/>
    </row>
    <row r="1930">
      <c r="A1930" s="24"/>
      <c r="B1930" s="24"/>
      <c r="C1930" s="24"/>
      <c r="D1930" s="7"/>
      <c r="E1930" s="7"/>
      <c r="F1930" s="22"/>
      <c r="G1930" s="22"/>
      <c r="H1930" s="24"/>
      <c r="I1930" s="24"/>
      <c r="K1930" s="8"/>
    </row>
    <row r="1931">
      <c r="A1931" s="24"/>
      <c r="B1931" s="24"/>
      <c r="C1931" s="24"/>
      <c r="D1931" s="7"/>
      <c r="E1931" s="7"/>
      <c r="F1931" s="22"/>
      <c r="G1931" s="22"/>
      <c r="H1931" s="24"/>
      <c r="I1931" s="24"/>
      <c r="K1931" s="8"/>
    </row>
    <row r="1932">
      <c r="A1932" s="24"/>
      <c r="B1932" s="24"/>
      <c r="C1932" s="24"/>
      <c r="D1932" s="7"/>
      <c r="E1932" s="7"/>
      <c r="F1932" s="22"/>
      <c r="G1932" s="22"/>
      <c r="H1932" s="24"/>
      <c r="I1932" s="24"/>
      <c r="K1932" s="8"/>
    </row>
    <row r="1933">
      <c r="A1933" s="24"/>
      <c r="B1933" s="24"/>
      <c r="C1933" s="24"/>
      <c r="D1933" s="7"/>
      <c r="E1933" s="7"/>
      <c r="F1933" s="22"/>
      <c r="G1933" s="22"/>
      <c r="H1933" s="24"/>
      <c r="I1933" s="24"/>
      <c r="K1933" s="8"/>
    </row>
    <row r="1934">
      <c r="A1934" s="24"/>
      <c r="B1934" s="24"/>
      <c r="C1934" s="24"/>
      <c r="D1934" s="7"/>
      <c r="E1934" s="7"/>
      <c r="F1934" s="22"/>
      <c r="G1934" s="22"/>
      <c r="H1934" s="24"/>
      <c r="I1934" s="24"/>
      <c r="K1934" s="8"/>
    </row>
    <row r="1935">
      <c r="A1935" s="24"/>
      <c r="B1935" s="24"/>
      <c r="C1935" s="24"/>
      <c r="D1935" s="7"/>
      <c r="E1935" s="7"/>
      <c r="F1935" s="22"/>
      <c r="G1935" s="22"/>
      <c r="H1935" s="24"/>
      <c r="I1935" s="24"/>
      <c r="K1935" s="8"/>
    </row>
    <row r="1936">
      <c r="A1936" s="24"/>
      <c r="B1936" s="24"/>
      <c r="C1936" s="24"/>
      <c r="D1936" s="7"/>
      <c r="E1936" s="7"/>
      <c r="F1936" s="22"/>
      <c r="G1936" s="22"/>
      <c r="H1936" s="24"/>
      <c r="I1936" s="24"/>
      <c r="K1936" s="8"/>
    </row>
    <row r="1937">
      <c r="A1937" s="24"/>
      <c r="B1937" s="24"/>
      <c r="C1937" s="24"/>
      <c r="D1937" s="7"/>
      <c r="E1937" s="7"/>
      <c r="F1937" s="22"/>
      <c r="G1937" s="22"/>
      <c r="H1937" s="24"/>
      <c r="I1937" s="24"/>
      <c r="K1937" s="8"/>
    </row>
    <row r="1938">
      <c r="A1938" s="24"/>
      <c r="B1938" s="24"/>
      <c r="C1938" s="24"/>
      <c r="D1938" s="7"/>
      <c r="E1938" s="7"/>
      <c r="F1938" s="22"/>
      <c r="G1938" s="22"/>
      <c r="H1938" s="24"/>
      <c r="I1938" s="24"/>
      <c r="K1938" s="8"/>
    </row>
    <row r="1939">
      <c r="A1939" s="24"/>
      <c r="B1939" s="24"/>
      <c r="C1939" s="24"/>
      <c r="D1939" s="7"/>
      <c r="E1939" s="7"/>
      <c r="F1939" s="22"/>
      <c r="G1939" s="22"/>
      <c r="H1939" s="24"/>
      <c r="I1939" s="24"/>
      <c r="K1939" s="8"/>
    </row>
    <row r="1940">
      <c r="A1940" s="24"/>
      <c r="B1940" s="24"/>
      <c r="C1940" s="24"/>
      <c r="D1940" s="7"/>
      <c r="E1940" s="7"/>
      <c r="F1940" s="22"/>
      <c r="G1940" s="22"/>
      <c r="H1940" s="24"/>
      <c r="I1940" s="24"/>
      <c r="K1940" s="8"/>
    </row>
    <row r="1941">
      <c r="A1941" s="24"/>
      <c r="B1941" s="24"/>
      <c r="C1941" s="24"/>
      <c r="D1941" s="7"/>
      <c r="E1941" s="7"/>
      <c r="F1941" s="22"/>
      <c r="G1941" s="22"/>
      <c r="H1941" s="24"/>
      <c r="I1941" s="24"/>
      <c r="K1941" s="8"/>
    </row>
    <row r="1942">
      <c r="A1942" s="24"/>
      <c r="B1942" s="24"/>
      <c r="C1942" s="24"/>
      <c r="D1942" s="7"/>
      <c r="E1942" s="7"/>
      <c r="F1942" s="22"/>
      <c r="G1942" s="22"/>
      <c r="H1942" s="24"/>
      <c r="I1942" s="24"/>
      <c r="K1942" s="8"/>
    </row>
    <row r="1943">
      <c r="A1943" s="24"/>
      <c r="B1943" s="24"/>
      <c r="C1943" s="24"/>
      <c r="D1943" s="7"/>
      <c r="E1943" s="7"/>
      <c r="F1943" s="22"/>
      <c r="G1943" s="22"/>
      <c r="H1943" s="24"/>
      <c r="I1943" s="24"/>
      <c r="K1943" s="8"/>
    </row>
    <row r="1944">
      <c r="A1944" s="24"/>
      <c r="B1944" s="24"/>
      <c r="C1944" s="24"/>
      <c r="D1944" s="7"/>
      <c r="E1944" s="7"/>
      <c r="F1944" s="22"/>
      <c r="G1944" s="22"/>
      <c r="H1944" s="24"/>
      <c r="I1944" s="24"/>
      <c r="K1944" s="8"/>
    </row>
    <row r="1945">
      <c r="A1945" s="24"/>
      <c r="B1945" s="24"/>
      <c r="C1945" s="24"/>
      <c r="D1945" s="7"/>
      <c r="E1945" s="7"/>
      <c r="F1945" s="22"/>
      <c r="G1945" s="22"/>
      <c r="H1945" s="24"/>
      <c r="I1945" s="24"/>
      <c r="K1945" s="8"/>
    </row>
    <row r="1946">
      <c r="A1946" s="24"/>
      <c r="B1946" s="24"/>
      <c r="C1946" s="24"/>
      <c r="D1946" s="7"/>
      <c r="E1946" s="7"/>
      <c r="F1946" s="22"/>
      <c r="G1946" s="22"/>
      <c r="H1946" s="24"/>
      <c r="I1946" s="24"/>
      <c r="K1946" s="8"/>
    </row>
    <row r="1947">
      <c r="A1947" s="24"/>
      <c r="B1947" s="24"/>
      <c r="C1947" s="24"/>
      <c r="D1947" s="7"/>
      <c r="E1947" s="7"/>
      <c r="F1947" s="22"/>
      <c r="G1947" s="22"/>
      <c r="H1947" s="24"/>
      <c r="I1947" s="24"/>
      <c r="K1947" s="8"/>
    </row>
    <row r="1948">
      <c r="A1948" s="24"/>
      <c r="B1948" s="24"/>
      <c r="C1948" s="24"/>
      <c r="D1948" s="7"/>
      <c r="E1948" s="7"/>
      <c r="F1948" s="22"/>
      <c r="G1948" s="22"/>
      <c r="H1948" s="24"/>
      <c r="I1948" s="24"/>
      <c r="K1948" s="8"/>
    </row>
    <row r="1949">
      <c r="A1949" s="24"/>
      <c r="B1949" s="24"/>
      <c r="C1949" s="24"/>
      <c r="D1949" s="7"/>
      <c r="E1949" s="7"/>
      <c r="F1949" s="22"/>
      <c r="G1949" s="22"/>
      <c r="H1949" s="24"/>
      <c r="I1949" s="24"/>
      <c r="K1949" s="8"/>
    </row>
    <row r="1950">
      <c r="A1950" s="24"/>
      <c r="B1950" s="24"/>
      <c r="C1950" s="24"/>
      <c r="D1950" s="7"/>
      <c r="E1950" s="7"/>
      <c r="F1950" s="22"/>
      <c r="G1950" s="22"/>
      <c r="H1950" s="24"/>
      <c r="I1950" s="24"/>
      <c r="K1950" s="8"/>
    </row>
    <row r="1951">
      <c r="A1951" s="24"/>
      <c r="B1951" s="24"/>
      <c r="C1951" s="24"/>
      <c r="D1951" s="7"/>
      <c r="E1951" s="7"/>
      <c r="F1951" s="22"/>
      <c r="G1951" s="22"/>
      <c r="H1951" s="24"/>
      <c r="I1951" s="24"/>
      <c r="K1951" s="8"/>
    </row>
    <row r="1952">
      <c r="A1952" s="24"/>
      <c r="B1952" s="24"/>
      <c r="C1952" s="24"/>
      <c r="D1952" s="7"/>
      <c r="E1952" s="7"/>
      <c r="F1952" s="22"/>
      <c r="G1952" s="22"/>
      <c r="H1952" s="24"/>
      <c r="I1952" s="24"/>
      <c r="K1952" s="8"/>
    </row>
    <row r="1953">
      <c r="A1953" s="24"/>
      <c r="B1953" s="24"/>
      <c r="C1953" s="24"/>
      <c r="D1953" s="7"/>
      <c r="E1953" s="7"/>
      <c r="F1953" s="22"/>
      <c r="G1953" s="22"/>
      <c r="H1953" s="24"/>
      <c r="I1953" s="24"/>
      <c r="K1953" s="8"/>
    </row>
    <row r="1954">
      <c r="A1954" s="24"/>
      <c r="B1954" s="24"/>
      <c r="C1954" s="24"/>
      <c r="D1954" s="7"/>
      <c r="E1954" s="7"/>
      <c r="F1954" s="22"/>
      <c r="G1954" s="22"/>
      <c r="H1954" s="24"/>
      <c r="I1954" s="24"/>
      <c r="K1954" s="8"/>
    </row>
    <row r="1955">
      <c r="A1955" s="24"/>
      <c r="B1955" s="24"/>
      <c r="C1955" s="24"/>
      <c r="D1955" s="7"/>
      <c r="E1955" s="7"/>
      <c r="F1955" s="22"/>
      <c r="G1955" s="22"/>
      <c r="H1955" s="24"/>
      <c r="I1955" s="24"/>
      <c r="K1955" s="8"/>
    </row>
    <row r="1956">
      <c r="A1956" s="24"/>
      <c r="B1956" s="24"/>
      <c r="C1956" s="24"/>
      <c r="D1956" s="7"/>
      <c r="E1956" s="7"/>
      <c r="F1956" s="22"/>
      <c r="G1956" s="22"/>
      <c r="H1956" s="24"/>
      <c r="I1956" s="24"/>
      <c r="K1956" s="8"/>
    </row>
    <row r="1957">
      <c r="A1957" s="24"/>
      <c r="B1957" s="24"/>
      <c r="C1957" s="24"/>
      <c r="D1957" s="7"/>
      <c r="E1957" s="7"/>
      <c r="F1957" s="22"/>
      <c r="G1957" s="22"/>
      <c r="H1957" s="24"/>
      <c r="I1957" s="24"/>
      <c r="K1957" s="8"/>
    </row>
    <row r="1958">
      <c r="A1958" s="24"/>
      <c r="B1958" s="24"/>
      <c r="C1958" s="24"/>
      <c r="D1958" s="7"/>
      <c r="E1958" s="7"/>
      <c r="F1958" s="22"/>
      <c r="G1958" s="22"/>
      <c r="H1958" s="24"/>
      <c r="I1958" s="24"/>
      <c r="K1958" s="8"/>
    </row>
    <row r="1959">
      <c r="A1959" s="24"/>
      <c r="B1959" s="24"/>
      <c r="C1959" s="24"/>
      <c r="D1959" s="7"/>
      <c r="E1959" s="7"/>
      <c r="F1959" s="22"/>
      <c r="G1959" s="22"/>
      <c r="H1959" s="24"/>
      <c r="I1959" s="24"/>
      <c r="K1959" s="8"/>
    </row>
    <row r="1960">
      <c r="A1960" s="24"/>
      <c r="B1960" s="24"/>
      <c r="C1960" s="24"/>
      <c r="D1960" s="7"/>
      <c r="E1960" s="7"/>
      <c r="F1960" s="22"/>
      <c r="G1960" s="22"/>
      <c r="H1960" s="24"/>
      <c r="I1960" s="24"/>
      <c r="K1960" s="8"/>
    </row>
    <row r="1961">
      <c r="A1961" s="24"/>
      <c r="B1961" s="24"/>
      <c r="C1961" s="24"/>
      <c r="D1961" s="7"/>
      <c r="E1961" s="7"/>
      <c r="F1961" s="22"/>
      <c r="G1961" s="22"/>
      <c r="H1961" s="24"/>
      <c r="I1961" s="24"/>
      <c r="K1961" s="8"/>
    </row>
    <row r="1962">
      <c r="A1962" s="24"/>
      <c r="B1962" s="24"/>
      <c r="C1962" s="24"/>
      <c r="D1962" s="7"/>
      <c r="E1962" s="7"/>
      <c r="F1962" s="22"/>
      <c r="G1962" s="22"/>
      <c r="H1962" s="24"/>
      <c r="I1962" s="24"/>
      <c r="K1962" s="8"/>
    </row>
    <row r="1963">
      <c r="A1963" s="24"/>
      <c r="B1963" s="24"/>
      <c r="C1963" s="24"/>
      <c r="D1963" s="7"/>
      <c r="E1963" s="7"/>
      <c r="F1963" s="22"/>
      <c r="G1963" s="22"/>
      <c r="H1963" s="24"/>
      <c r="I1963" s="24"/>
      <c r="K1963" s="8"/>
    </row>
    <row r="1964">
      <c r="A1964" s="24"/>
      <c r="B1964" s="24"/>
      <c r="C1964" s="24"/>
      <c r="D1964" s="7"/>
      <c r="E1964" s="7"/>
      <c r="F1964" s="22"/>
      <c r="G1964" s="22"/>
      <c r="H1964" s="24"/>
      <c r="I1964" s="24"/>
      <c r="K1964" s="8"/>
    </row>
    <row r="1965">
      <c r="A1965" s="24"/>
      <c r="B1965" s="24"/>
      <c r="C1965" s="24"/>
      <c r="D1965" s="7"/>
      <c r="E1965" s="7"/>
      <c r="F1965" s="22"/>
      <c r="G1965" s="22"/>
      <c r="H1965" s="24"/>
      <c r="I1965" s="24"/>
      <c r="K1965" s="8"/>
    </row>
    <row r="1966">
      <c r="A1966" s="24"/>
      <c r="B1966" s="24"/>
      <c r="C1966" s="24"/>
      <c r="D1966" s="7"/>
      <c r="E1966" s="7"/>
      <c r="F1966" s="22"/>
      <c r="G1966" s="22"/>
      <c r="H1966" s="24"/>
      <c r="I1966" s="24"/>
      <c r="K1966" s="8"/>
    </row>
    <row r="1967">
      <c r="A1967" s="24"/>
      <c r="B1967" s="24"/>
      <c r="C1967" s="24"/>
      <c r="D1967" s="7"/>
      <c r="E1967" s="7"/>
      <c r="F1967" s="22"/>
      <c r="G1967" s="22"/>
      <c r="H1967" s="24"/>
      <c r="I1967" s="24"/>
      <c r="K1967" s="8"/>
    </row>
    <row r="1968">
      <c r="A1968" s="24"/>
      <c r="B1968" s="24"/>
      <c r="C1968" s="24"/>
      <c r="D1968" s="7"/>
      <c r="E1968" s="7"/>
      <c r="F1968" s="22"/>
      <c r="G1968" s="22"/>
      <c r="H1968" s="24"/>
      <c r="I1968" s="24"/>
      <c r="K1968" s="8"/>
    </row>
    <row r="1969">
      <c r="A1969" s="24"/>
      <c r="B1969" s="24"/>
      <c r="C1969" s="24"/>
      <c r="D1969" s="7"/>
      <c r="E1969" s="7"/>
      <c r="F1969" s="22"/>
      <c r="G1969" s="22"/>
      <c r="H1969" s="24"/>
      <c r="I1969" s="24"/>
      <c r="K1969" s="8"/>
    </row>
    <row r="1970">
      <c r="A1970" s="24"/>
      <c r="B1970" s="24"/>
      <c r="C1970" s="24"/>
      <c r="D1970" s="7"/>
      <c r="E1970" s="7"/>
      <c r="F1970" s="22"/>
      <c r="G1970" s="22"/>
      <c r="H1970" s="24"/>
      <c r="I1970" s="24"/>
      <c r="K1970" s="8"/>
    </row>
    <row r="1971">
      <c r="A1971" s="24"/>
      <c r="B1971" s="24"/>
      <c r="C1971" s="24"/>
      <c r="D1971" s="7"/>
      <c r="E1971" s="7"/>
      <c r="F1971" s="22"/>
      <c r="G1971" s="22"/>
      <c r="H1971" s="24"/>
      <c r="I1971" s="24"/>
      <c r="K1971" s="8"/>
    </row>
    <row r="1972">
      <c r="A1972" s="24"/>
      <c r="B1972" s="24"/>
      <c r="C1972" s="24"/>
      <c r="D1972" s="7"/>
      <c r="E1972" s="7"/>
      <c r="F1972" s="22"/>
      <c r="G1972" s="22"/>
      <c r="H1972" s="24"/>
      <c r="I1972" s="24"/>
      <c r="K1972" s="8"/>
    </row>
    <row r="1973">
      <c r="A1973" s="24"/>
      <c r="B1973" s="24"/>
      <c r="C1973" s="24"/>
      <c r="D1973" s="7"/>
      <c r="E1973" s="7"/>
      <c r="F1973" s="22"/>
      <c r="G1973" s="22"/>
      <c r="H1973" s="24"/>
      <c r="I1973" s="24"/>
      <c r="K1973" s="8"/>
    </row>
    <row r="1974">
      <c r="A1974" s="24"/>
      <c r="B1974" s="24"/>
      <c r="C1974" s="24"/>
      <c r="D1974" s="7"/>
      <c r="E1974" s="7"/>
      <c r="F1974" s="22"/>
      <c r="G1974" s="22"/>
      <c r="H1974" s="24"/>
      <c r="I1974" s="24"/>
      <c r="K1974" s="8"/>
    </row>
    <row r="1975">
      <c r="A1975" s="24"/>
      <c r="B1975" s="24"/>
      <c r="C1975" s="24"/>
      <c r="D1975" s="7"/>
      <c r="E1975" s="7"/>
      <c r="F1975" s="22"/>
      <c r="G1975" s="22"/>
      <c r="H1975" s="24"/>
      <c r="I1975" s="24"/>
      <c r="K1975" s="8"/>
    </row>
    <row r="1976">
      <c r="A1976" s="24"/>
      <c r="B1976" s="24"/>
      <c r="C1976" s="24"/>
      <c r="D1976" s="7"/>
      <c r="E1976" s="7"/>
      <c r="F1976" s="22"/>
      <c r="G1976" s="22"/>
      <c r="H1976" s="24"/>
      <c r="I1976" s="24"/>
      <c r="K1976" s="8"/>
    </row>
    <row r="1977">
      <c r="A1977" s="24"/>
      <c r="B1977" s="24"/>
      <c r="C1977" s="24"/>
      <c r="D1977" s="7"/>
      <c r="E1977" s="7"/>
      <c r="F1977" s="22"/>
      <c r="G1977" s="22"/>
      <c r="H1977" s="24"/>
      <c r="I1977" s="24"/>
      <c r="K1977" s="8"/>
    </row>
    <row r="1978">
      <c r="A1978" s="24"/>
      <c r="B1978" s="24"/>
      <c r="C1978" s="24"/>
      <c r="D1978" s="7"/>
      <c r="E1978" s="7"/>
      <c r="F1978" s="22"/>
      <c r="G1978" s="22"/>
      <c r="H1978" s="24"/>
      <c r="I1978" s="24"/>
      <c r="K1978" s="8"/>
    </row>
    <row r="1979">
      <c r="A1979" s="24"/>
      <c r="B1979" s="24"/>
      <c r="C1979" s="24"/>
      <c r="D1979" s="7"/>
      <c r="E1979" s="7"/>
      <c r="F1979" s="22"/>
      <c r="G1979" s="22"/>
      <c r="H1979" s="24"/>
      <c r="I1979" s="24"/>
      <c r="K1979" s="8"/>
    </row>
    <row r="1980">
      <c r="A1980" s="24"/>
      <c r="B1980" s="24"/>
      <c r="C1980" s="24"/>
      <c r="D1980" s="7"/>
      <c r="E1980" s="7"/>
      <c r="F1980" s="22"/>
      <c r="G1980" s="22"/>
      <c r="H1980" s="24"/>
      <c r="I1980" s="24"/>
      <c r="K1980" s="8"/>
    </row>
    <row r="1981">
      <c r="A1981" s="24"/>
      <c r="B1981" s="24"/>
      <c r="C1981" s="24"/>
      <c r="D1981" s="7"/>
      <c r="E1981" s="7"/>
      <c r="F1981" s="22"/>
      <c r="G1981" s="22"/>
      <c r="H1981" s="24"/>
      <c r="I1981" s="24"/>
      <c r="K1981" s="8"/>
    </row>
    <row r="1982">
      <c r="A1982" s="24"/>
      <c r="B1982" s="24"/>
      <c r="C1982" s="24"/>
      <c r="D1982" s="7"/>
      <c r="E1982" s="7"/>
      <c r="F1982" s="22"/>
      <c r="G1982" s="22"/>
      <c r="H1982" s="24"/>
      <c r="I1982" s="24"/>
      <c r="K1982" s="8"/>
    </row>
    <row r="1983">
      <c r="A1983" s="24"/>
      <c r="B1983" s="24"/>
      <c r="C1983" s="24"/>
      <c r="D1983" s="7"/>
      <c r="E1983" s="7"/>
      <c r="F1983" s="22"/>
      <c r="G1983" s="22"/>
      <c r="H1983" s="24"/>
      <c r="I1983" s="24"/>
      <c r="K1983" s="8"/>
    </row>
    <row r="1984">
      <c r="A1984" s="24"/>
      <c r="B1984" s="24"/>
      <c r="C1984" s="24"/>
      <c r="D1984" s="7"/>
      <c r="E1984" s="7"/>
      <c r="F1984" s="22"/>
      <c r="G1984" s="22"/>
      <c r="H1984" s="24"/>
      <c r="I1984" s="24"/>
      <c r="K1984" s="8"/>
    </row>
    <row r="1985">
      <c r="A1985" s="24"/>
      <c r="B1985" s="24"/>
      <c r="C1985" s="24"/>
      <c r="D1985" s="7"/>
      <c r="E1985" s="7"/>
      <c r="F1985" s="22"/>
      <c r="G1985" s="22"/>
      <c r="H1985" s="24"/>
      <c r="I1985" s="24"/>
      <c r="K1985" s="8"/>
    </row>
    <row r="1986">
      <c r="A1986" s="24"/>
      <c r="B1986" s="24"/>
      <c r="C1986" s="24"/>
      <c r="D1986" s="7"/>
      <c r="E1986" s="7"/>
      <c r="F1986" s="22"/>
      <c r="G1986" s="22"/>
      <c r="H1986" s="24"/>
      <c r="I1986" s="24"/>
      <c r="K1986" s="8"/>
    </row>
    <row r="1987">
      <c r="A1987" s="24"/>
      <c r="B1987" s="24"/>
      <c r="C1987" s="24"/>
      <c r="D1987" s="7"/>
      <c r="E1987" s="7"/>
      <c r="F1987" s="22"/>
      <c r="G1987" s="22"/>
      <c r="H1987" s="24"/>
      <c r="I1987" s="24"/>
      <c r="K1987" s="8"/>
    </row>
    <row r="1988">
      <c r="A1988" s="24"/>
      <c r="B1988" s="24"/>
      <c r="C1988" s="24"/>
      <c r="D1988" s="7"/>
      <c r="E1988" s="7"/>
      <c r="F1988" s="22"/>
      <c r="G1988" s="22"/>
      <c r="H1988" s="24"/>
      <c r="I1988" s="24"/>
      <c r="K1988" s="8"/>
    </row>
    <row r="1989">
      <c r="A1989" s="24"/>
      <c r="B1989" s="24"/>
      <c r="C1989" s="24"/>
      <c r="D1989" s="7"/>
      <c r="E1989" s="7"/>
      <c r="F1989" s="22"/>
      <c r="G1989" s="22"/>
      <c r="H1989" s="24"/>
      <c r="I1989" s="24"/>
      <c r="K1989" s="8"/>
    </row>
    <row r="1990">
      <c r="A1990" s="24"/>
      <c r="B1990" s="24"/>
      <c r="C1990" s="24"/>
      <c r="D1990" s="7"/>
      <c r="E1990" s="7"/>
      <c r="F1990" s="22"/>
      <c r="G1990" s="22"/>
      <c r="H1990" s="24"/>
      <c r="I1990" s="24"/>
      <c r="K1990" s="8"/>
    </row>
    <row r="1991">
      <c r="A1991" s="24"/>
      <c r="B1991" s="24"/>
      <c r="C1991" s="24"/>
      <c r="D1991" s="7"/>
      <c r="E1991" s="7"/>
      <c r="F1991" s="22"/>
      <c r="G1991" s="22"/>
      <c r="H1991" s="24"/>
      <c r="I1991" s="24"/>
      <c r="K1991" s="8"/>
    </row>
    <row r="1992">
      <c r="A1992" s="24"/>
      <c r="B1992" s="24"/>
      <c r="C1992" s="24"/>
      <c r="D1992" s="7"/>
      <c r="E1992" s="7"/>
      <c r="F1992" s="22"/>
      <c r="G1992" s="22"/>
      <c r="H1992" s="24"/>
      <c r="I1992" s="24"/>
      <c r="K1992" s="8"/>
    </row>
    <row r="1993">
      <c r="A1993" s="24"/>
      <c r="B1993" s="24"/>
      <c r="C1993" s="24"/>
      <c r="D1993" s="7"/>
      <c r="E1993" s="7"/>
      <c r="F1993" s="22"/>
      <c r="G1993" s="22"/>
      <c r="H1993" s="24"/>
      <c r="I1993" s="24"/>
      <c r="K1993" s="8"/>
    </row>
    <row r="1994">
      <c r="A1994" s="24"/>
      <c r="B1994" s="24"/>
      <c r="C1994" s="24"/>
      <c r="D1994" s="7"/>
      <c r="E1994" s="7"/>
      <c r="F1994" s="22"/>
      <c r="G1994" s="22"/>
      <c r="H1994" s="24"/>
      <c r="I1994" s="24"/>
      <c r="K1994" s="8"/>
    </row>
    <row r="1995">
      <c r="A1995" s="24"/>
      <c r="B1995" s="24"/>
      <c r="C1995" s="24"/>
      <c r="D1995" s="7"/>
      <c r="E1995" s="7"/>
      <c r="F1995" s="22"/>
      <c r="G1995" s="22"/>
      <c r="H1995" s="24"/>
      <c r="I1995" s="24"/>
      <c r="K1995" s="8"/>
    </row>
    <row r="1996">
      <c r="A1996" s="24"/>
      <c r="B1996" s="24"/>
      <c r="C1996" s="24"/>
      <c r="D1996" s="7"/>
      <c r="E1996" s="7"/>
      <c r="F1996" s="22"/>
      <c r="G1996" s="22"/>
      <c r="H1996" s="24"/>
      <c r="I1996" s="24"/>
      <c r="K1996" s="8"/>
    </row>
    <row r="1997">
      <c r="A1997" s="24"/>
      <c r="B1997" s="24"/>
      <c r="C1997" s="24"/>
      <c r="D1997" s="7"/>
      <c r="E1997" s="7"/>
      <c r="F1997" s="22"/>
      <c r="G1997" s="22"/>
      <c r="H1997" s="24"/>
      <c r="I1997" s="24"/>
      <c r="K1997" s="8"/>
    </row>
    <row r="1998">
      <c r="A1998" s="24"/>
      <c r="B1998" s="24"/>
      <c r="C1998" s="24"/>
      <c r="D1998" s="7"/>
      <c r="E1998" s="7"/>
      <c r="F1998" s="22"/>
      <c r="G1998" s="22"/>
      <c r="H1998" s="24"/>
      <c r="I1998" s="24"/>
      <c r="K1998" s="8"/>
    </row>
    <row r="1999">
      <c r="A1999" s="24"/>
      <c r="B1999" s="24"/>
      <c r="C1999" s="24"/>
      <c r="D1999" s="7"/>
      <c r="E1999" s="7"/>
      <c r="F1999" s="22"/>
      <c r="G1999" s="22"/>
      <c r="H1999" s="24"/>
      <c r="I1999" s="24"/>
      <c r="K1999" s="8"/>
    </row>
    <row r="2000">
      <c r="A2000" s="24"/>
      <c r="B2000" s="24"/>
      <c r="C2000" s="24"/>
      <c r="D2000" s="7"/>
      <c r="E2000" s="7"/>
      <c r="F2000" s="22"/>
      <c r="G2000" s="22"/>
      <c r="H2000" s="24"/>
      <c r="I2000" s="24"/>
      <c r="K2000" s="8"/>
    </row>
    <row r="2001">
      <c r="A2001" s="24"/>
      <c r="B2001" s="24"/>
      <c r="C2001" s="24"/>
      <c r="D2001" s="7"/>
      <c r="E2001" s="7"/>
      <c r="F2001" s="22"/>
      <c r="G2001" s="22"/>
      <c r="H2001" s="24"/>
      <c r="I2001" s="24"/>
      <c r="K2001" s="8"/>
    </row>
    <row r="2002">
      <c r="A2002" s="24"/>
      <c r="B2002" s="24"/>
      <c r="C2002" s="24"/>
      <c r="D2002" s="7"/>
      <c r="E2002" s="7"/>
      <c r="F2002" s="22"/>
      <c r="G2002" s="22"/>
      <c r="H2002" s="24"/>
      <c r="I2002" s="24"/>
      <c r="K2002" s="8"/>
    </row>
    <row r="2003">
      <c r="A2003" s="24"/>
      <c r="B2003" s="24"/>
      <c r="C2003" s="24"/>
      <c r="D2003" s="7"/>
      <c r="E2003" s="7"/>
      <c r="F2003" s="22"/>
      <c r="G2003" s="22"/>
      <c r="H2003" s="24"/>
      <c r="I2003" s="24"/>
      <c r="K2003" s="8"/>
    </row>
    <row r="2004">
      <c r="A2004" s="24"/>
      <c r="B2004" s="24"/>
      <c r="C2004" s="24"/>
      <c r="D2004" s="7"/>
      <c r="E2004" s="7"/>
      <c r="F2004" s="22"/>
      <c r="G2004" s="22"/>
      <c r="H2004" s="24"/>
      <c r="I2004" s="24"/>
      <c r="K2004" s="8"/>
    </row>
    <row r="2005">
      <c r="A2005" s="24"/>
      <c r="B2005" s="24"/>
      <c r="C2005" s="24"/>
      <c r="D2005" s="7"/>
      <c r="E2005" s="7"/>
      <c r="F2005" s="22"/>
      <c r="G2005" s="22"/>
      <c r="H2005" s="24"/>
      <c r="I2005" s="24"/>
      <c r="K2005" s="8"/>
    </row>
    <row r="2006">
      <c r="A2006" s="24"/>
      <c r="B2006" s="24"/>
      <c r="C2006" s="24"/>
      <c r="D2006" s="7"/>
      <c r="E2006" s="7"/>
      <c r="F2006" s="22"/>
      <c r="G2006" s="22"/>
      <c r="H2006" s="24"/>
      <c r="I2006" s="24"/>
      <c r="K2006" s="8"/>
    </row>
    <row r="2007">
      <c r="A2007" s="24"/>
      <c r="B2007" s="24"/>
      <c r="C2007" s="24"/>
      <c r="D2007" s="7"/>
      <c r="E2007" s="7"/>
      <c r="F2007" s="22"/>
      <c r="G2007" s="22"/>
      <c r="H2007" s="24"/>
      <c r="I2007" s="24"/>
      <c r="K2007" s="8"/>
    </row>
    <row r="2008">
      <c r="A2008" s="24"/>
      <c r="B2008" s="24"/>
      <c r="C2008" s="24"/>
      <c r="D2008" s="7"/>
      <c r="E2008" s="7"/>
      <c r="F2008" s="22"/>
      <c r="G2008" s="22"/>
      <c r="H2008" s="24"/>
      <c r="I2008" s="24"/>
      <c r="K2008" s="8"/>
    </row>
    <row r="2009">
      <c r="A2009" s="24"/>
      <c r="B2009" s="24"/>
      <c r="C2009" s="24"/>
      <c r="D2009" s="7"/>
      <c r="E2009" s="7"/>
      <c r="F2009" s="22"/>
      <c r="G2009" s="22"/>
      <c r="H2009" s="24"/>
      <c r="I2009" s="24"/>
      <c r="K2009" s="8"/>
    </row>
    <row r="2010">
      <c r="A2010" s="24"/>
      <c r="B2010" s="24"/>
      <c r="C2010" s="24"/>
      <c r="D2010" s="7"/>
      <c r="E2010" s="7"/>
      <c r="F2010" s="22"/>
      <c r="G2010" s="22"/>
      <c r="H2010" s="24"/>
      <c r="I2010" s="24"/>
      <c r="K2010" s="8"/>
    </row>
    <row r="2011">
      <c r="A2011" s="24"/>
      <c r="B2011" s="24"/>
      <c r="C2011" s="24"/>
      <c r="D2011" s="7"/>
      <c r="E2011" s="7"/>
      <c r="F2011" s="22"/>
      <c r="G2011" s="22"/>
      <c r="H2011" s="24"/>
      <c r="I2011" s="24"/>
      <c r="K2011" s="8"/>
    </row>
    <row r="2012">
      <c r="A2012" s="24"/>
      <c r="B2012" s="24"/>
      <c r="C2012" s="24"/>
      <c r="D2012" s="7"/>
      <c r="E2012" s="7"/>
      <c r="F2012" s="22"/>
      <c r="G2012" s="22"/>
      <c r="H2012" s="24"/>
      <c r="I2012" s="24"/>
      <c r="K2012" s="8"/>
    </row>
    <row r="2013">
      <c r="A2013" s="24"/>
      <c r="B2013" s="24"/>
      <c r="C2013" s="24"/>
      <c r="D2013" s="7"/>
      <c r="E2013" s="7"/>
      <c r="F2013" s="22"/>
      <c r="G2013" s="22"/>
      <c r="H2013" s="24"/>
      <c r="I2013" s="24"/>
      <c r="K2013" s="8"/>
    </row>
    <row r="2014">
      <c r="A2014" s="24"/>
      <c r="B2014" s="24"/>
      <c r="C2014" s="24"/>
      <c r="D2014" s="7"/>
      <c r="E2014" s="7"/>
      <c r="F2014" s="22"/>
      <c r="G2014" s="22"/>
      <c r="H2014" s="24"/>
      <c r="I2014" s="24"/>
      <c r="K2014" s="8"/>
    </row>
    <row r="2015">
      <c r="A2015" s="24"/>
      <c r="B2015" s="24"/>
      <c r="C2015" s="24"/>
      <c r="D2015" s="7"/>
      <c r="E2015" s="7"/>
      <c r="F2015" s="22"/>
      <c r="G2015" s="22"/>
      <c r="H2015" s="24"/>
      <c r="I2015" s="24"/>
      <c r="K2015" s="8"/>
    </row>
    <row r="2016">
      <c r="A2016" s="24"/>
      <c r="B2016" s="24"/>
      <c r="C2016" s="24"/>
      <c r="D2016" s="7"/>
      <c r="E2016" s="7"/>
      <c r="F2016" s="22"/>
      <c r="G2016" s="22"/>
      <c r="H2016" s="24"/>
      <c r="I2016" s="24"/>
      <c r="K2016" s="8"/>
    </row>
    <row r="2017">
      <c r="A2017" s="24"/>
      <c r="B2017" s="24"/>
      <c r="C2017" s="24"/>
      <c r="D2017" s="7"/>
      <c r="E2017" s="7"/>
      <c r="F2017" s="22"/>
      <c r="G2017" s="22"/>
      <c r="H2017" s="24"/>
      <c r="I2017" s="24"/>
      <c r="K2017" s="8"/>
    </row>
    <row r="2018">
      <c r="A2018" s="24"/>
      <c r="B2018" s="24"/>
      <c r="C2018" s="24"/>
      <c r="D2018" s="7"/>
      <c r="E2018" s="7"/>
      <c r="F2018" s="22"/>
      <c r="G2018" s="22"/>
      <c r="H2018" s="24"/>
      <c r="I2018" s="24"/>
      <c r="K2018" s="8"/>
    </row>
    <row r="2019">
      <c r="A2019" s="24"/>
      <c r="B2019" s="24"/>
      <c r="C2019" s="24"/>
      <c r="D2019" s="7"/>
      <c r="E2019" s="7"/>
      <c r="F2019" s="22"/>
      <c r="G2019" s="22"/>
      <c r="H2019" s="24"/>
      <c r="I2019" s="24"/>
      <c r="K2019" s="8"/>
    </row>
    <row r="2020">
      <c r="A2020" s="24"/>
      <c r="B2020" s="24"/>
      <c r="C2020" s="24"/>
      <c r="D2020" s="7"/>
      <c r="E2020" s="7"/>
      <c r="F2020" s="22"/>
      <c r="G2020" s="22"/>
      <c r="H2020" s="24"/>
      <c r="I2020" s="24"/>
      <c r="K2020" s="8"/>
    </row>
    <row r="2021">
      <c r="A2021" s="24"/>
      <c r="B2021" s="24"/>
      <c r="C2021" s="24"/>
      <c r="D2021" s="7"/>
      <c r="E2021" s="7"/>
      <c r="F2021" s="22"/>
      <c r="G2021" s="22"/>
      <c r="H2021" s="24"/>
      <c r="I2021" s="24"/>
      <c r="K2021" s="8"/>
    </row>
    <row r="2022">
      <c r="A2022" s="24"/>
      <c r="B2022" s="24"/>
      <c r="C2022" s="24"/>
      <c r="D2022" s="7"/>
      <c r="E2022" s="7"/>
      <c r="F2022" s="22"/>
      <c r="G2022" s="22"/>
      <c r="H2022" s="24"/>
      <c r="I2022" s="24"/>
      <c r="K2022" s="8"/>
    </row>
    <row r="2023">
      <c r="A2023" s="24"/>
      <c r="B2023" s="24"/>
      <c r="C2023" s="24"/>
      <c r="D2023" s="7"/>
      <c r="E2023" s="7"/>
      <c r="F2023" s="22"/>
      <c r="G2023" s="22"/>
      <c r="H2023" s="24"/>
      <c r="I2023" s="24"/>
      <c r="K2023" s="8"/>
    </row>
    <row r="2024">
      <c r="A2024" s="24"/>
      <c r="B2024" s="24"/>
      <c r="C2024" s="24"/>
      <c r="D2024" s="7"/>
      <c r="E2024" s="7"/>
      <c r="F2024" s="22"/>
      <c r="G2024" s="22"/>
      <c r="H2024" s="24"/>
      <c r="I2024" s="24"/>
      <c r="K2024" s="8"/>
    </row>
    <row r="2025">
      <c r="A2025" s="24"/>
      <c r="B2025" s="24"/>
      <c r="C2025" s="24"/>
      <c r="D2025" s="7"/>
      <c r="E2025" s="7"/>
      <c r="F2025" s="22"/>
      <c r="G2025" s="22"/>
      <c r="H2025" s="24"/>
      <c r="I2025" s="24"/>
      <c r="K2025" s="8"/>
    </row>
    <row r="2026">
      <c r="A2026" s="24"/>
      <c r="B2026" s="24"/>
      <c r="C2026" s="24"/>
      <c r="D2026" s="7"/>
      <c r="E2026" s="7"/>
      <c r="F2026" s="22"/>
      <c r="G2026" s="22"/>
      <c r="H2026" s="24"/>
      <c r="I2026" s="24"/>
      <c r="K2026" s="8"/>
    </row>
    <row r="2027">
      <c r="A2027" s="24"/>
      <c r="B2027" s="24"/>
      <c r="C2027" s="24"/>
      <c r="D2027" s="7"/>
      <c r="E2027" s="7"/>
      <c r="F2027" s="22"/>
      <c r="G2027" s="22"/>
      <c r="H2027" s="24"/>
      <c r="I2027" s="24"/>
      <c r="K2027" s="8"/>
    </row>
    <row r="2028">
      <c r="A2028" s="24"/>
      <c r="B2028" s="24"/>
      <c r="C2028" s="24"/>
      <c r="D2028" s="7"/>
      <c r="E2028" s="7"/>
      <c r="F2028" s="22"/>
      <c r="G2028" s="22"/>
      <c r="H2028" s="24"/>
      <c r="I2028" s="24"/>
      <c r="K2028" s="8"/>
    </row>
    <row r="2029">
      <c r="A2029" s="24"/>
      <c r="B2029" s="24"/>
      <c r="C2029" s="24"/>
      <c r="D2029" s="7"/>
      <c r="E2029" s="7"/>
      <c r="F2029" s="22"/>
      <c r="G2029" s="22"/>
      <c r="H2029" s="24"/>
      <c r="I2029" s="24"/>
      <c r="K2029" s="8"/>
    </row>
    <row r="2030">
      <c r="A2030" s="24"/>
      <c r="B2030" s="24"/>
      <c r="C2030" s="24"/>
      <c r="D2030" s="7"/>
      <c r="E2030" s="7"/>
      <c r="F2030" s="22"/>
      <c r="G2030" s="22"/>
      <c r="H2030" s="24"/>
      <c r="I2030" s="24"/>
      <c r="K2030" s="8"/>
    </row>
    <row r="2031">
      <c r="A2031" s="24"/>
      <c r="B2031" s="24"/>
      <c r="C2031" s="24"/>
      <c r="D2031" s="7"/>
      <c r="E2031" s="7"/>
      <c r="F2031" s="22"/>
      <c r="G2031" s="22"/>
      <c r="H2031" s="24"/>
      <c r="I2031" s="24"/>
      <c r="K2031" s="8"/>
    </row>
    <row r="2032">
      <c r="A2032" s="24"/>
      <c r="B2032" s="24"/>
      <c r="C2032" s="24"/>
      <c r="D2032" s="7"/>
      <c r="E2032" s="7"/>
      <c r="F2032" s="22"/>
      <c r="G2032" s="22"/>
      <c r="H2032" s="24"/>
      <c r="I2032" s="24"/>
      <c r="K2032" s="8"/>
    </row>
    <row r="2033">
      <c r="A2033" s="24"/>
      <c r="B2033" s="24"/>
      <c r="C2033" s="24"/>
      <c r="D2033" s="7"/>
      <c r="E2033" s="7"/>
      <c r="F2033" s="22"/>
      <c r="G2033" s="22"/>
      <c r="H2033" s="24"/>
      <c r="I2033" s="24"/>
      <c r="K2033" s="8"/>
    </row>
    <row r="2034">
      <c r="A2034" s="24"/>
      <c r="B2034" s="24"/>
      <c r="C2034" s="24"/>
      <c r="D2034" s="7"/>
      <c r="E2034" s="7"/>
      <c r="F2034" s="22"/>
      <c r="G2034" s="22"/>
      <c r="H2034" s="24"/>
      <c r="I2034" s="24"/>
      <c r="K2034" s="8"/>
    </row>
    <row r="2035">
      <c r="A2035" s="24"/>
      <c r="B2035" s="24"/>
      <c r="C2035" s="24"/>
      <c r="D2035" s="7"/>
      <c r="E2035" s="7"/>
      <c r="F2035" s="22"/>
      <c r="G2035" s="22"/>
      <c r="H2035" s="24"/>
      <c r="I2035" s="24"/>
      <c r="K2035" s="8"/>
    </row>
    <row r="2036">
      <c r="A2036" s="24"/>
      <c r="B2036" s="24"/>
      <c r="C2036" s="24"/>
      <c r="D2036" s="7"/>
      <c r="E2036" s="7"/>
      <c r="F2036" s="22"/>
      <c r="G2036" s="22"/>
      <c r="H2036" s="24"/>
      <c r="I2036" s="24"/>
      <c r="K2036" s="8"/>
    </row>
    <row r="2037">
      <c r="A2037" s="24"/>
      <c r="B2037" s="24"/>
      <c r="C2037" s="24"/>
      <c r="D2037" s="7"/>
      <c r="E2037" s="7"/>
      <c r="F2037" s="22"/>
      <c r="G2037" s="22"/>
      <c r="H2037" s="24"/>
      <c r="I2037" s="24"/>
      <c r="K2037" s="8"/>
    </row>
    <row r="2038">
      <c r="A2038" s="24"/>
      <c r="B2038" s="24"/>
      <c r="C2038" s="24"/>
      <c r="D2038" s="7"/>
      <c r="E2038" s="7"/>
      <c r="F2038" s="22"/>
      <c r="G2038" s="22"/>
      <c r="H2038" s="24"/>
      <c r="I2038" s="24"/>
      <c r="K2038" s="8"/>
    </row>
    <row r="2039">
      <c r="A2039" s="24"/>
      <c r="B2039" s="24"/>
      <c r="C2039" s="24"/>
      <c r="D2039" s="7"/>
      <c r="E2039" s="7"/>
      <c r="F2039" s="22"/>
      <c r="G2039" s="22"/>
      <c r="H2039" s="24"/>
      <c r="I2039" s="24"/>
      <c r="K2039" s="8"/>
    </row>
    <row r="2040">
      <c r="A2040" s="24"/>
      <c r="B2040" s="24"/>
      <c r="C2040" s="24"/>
      <c r="D2040" s="7"/>
      <c r="E2040" s="7"/>
      <c r="F2040" s="22"/>
      <c r="G2040" s="22"/>
      <c r="H2040" s="24"/>
      <c r="I2040" s="24"/>
      <c r="K2040" s="8"/>
    </row>
    <row r="2041">
      <c r="A2041" s="24"/>
      <c r="B2041" s="24"/>
      <c r="C2041" s="24"/>
      <c r="D2041" s="7"/>
      <c r="E2041" s="7"/>
      <c r="F2041" s="22"/>
      <c r="G2041" s="22"/>
      <c r="H2041" s="24"/>
      <c r="I2041" s="24"/>
      <c r="K2041" s="8"/>
    </row>
    <row r="2042">
      <c r="A2042" s="24"/>
      <c r="B2042" s="24"/>
      <c r="C2042" s="24"/>
      <c r="D2042" s="7"/>
      <c r="E2042" s="7"/>
      <c r="F2042" s="22"/>
      <c r="G2042" s="22"/>
      <c r="H2042" s="24"/>
      <c r="I2042" s="24"/>
      <c r="K2042" s="8"/>
    </row>
    <row r="2043">
      <c r="A2043" s="24"/>
      <c r="B2043" s="24"/>
      <c r="C2043" s="24"/>
      <c r="D2043" s="7"/>
      <c r="E2043" s="7"/>
      <c r="F2043" s="22"/>
      <c r="G2043" s="22"/>
      <c r="H2043" s="24"/>
      <c r="I2043" s="24"/>
      <c r="K2043" s="8"/>
    </row>
    <row r="2044">
      <c r="A2044" s="24"/>
      <c r="B2044" s="24"/>
      <c r="C2044" s="24"/>
      <c r="D2044" s="7"/>
      <c r="E2044" s="7"/>
      <c r="F2044" s="22"/>
      <c r="G2044" s="22"/>
      <c r="H2044" s="24"/>
      <c r="I2044" s="24"/>
      <c r="K2044" s="8"/>
    </row>
    <row r="2045">
      <c r="A2045" s="24"/>
      <c r="B2045" s="24"/>
      <c r="C2045" s="24"/>
      <c r="D2045" s="7"/>
      <c r="E2045" s="7"/>
      <c r="F2045" s="22"/>
      <c r="G2045" s="22"/>
      <c r="H2045" s="24"/>
      <c r="I2045" s="24"/>
      <c r="K2045" s="8"/>
    </row>
    <row r="2046">
      <c r="A2046" s="24"/>
      <c r="B2046" s="24"/>
      <c r="C2046" s="24"/>
      <c r="D2046" s="7"/>
      <c r="E2046" s="7"/>
      <c r="F2046" s="22"/>
      <c r="G2046" s="22"/>
      <c r="H2046" s="24"/>
      <c r="I2046" s="24"/>
      <c r="K2046" s="8"/>
    </row>
    <row r="2047">
      <c r="A2047" s="24"/>
      <c r="B2047" s="24"/>
      <c r="C2047" s="24"/>
      <c r="D2047" s="7"/>
      <c r="E2047" s="7"/>
      <c r="F2047" s="22"/>
      <c r="G2047" s="22"/>
      <c r="H2047" s="24"/>
      <c r="I2047" s="24"/>
      <c r="K2047" s="8"/>
    </row>
    <row r="2048">
      <c r="A2048" s="24"/>
      <c r="B2048" s="24"/>
      <c r="C2048" s="24"/>
      <c r="D2048" s="7"/>
      <c r="E2048" s="7"/>
      <c r="F2048" s="22"/>
      <c r="G2048" s="22"/>
      <c r="H2048" s="24"/>
      <c r="I2048" s="24"/>
      <c r="K2048" s="8"/>
    </row>
    <row r="2049">
      <c r="A2049" s="24"/>
      <c r="B2049" s="24"/>
      <c r="C2049" s="24"/>
      <c r="D2049" s="7"/>
      <c r="E2049" s="7"/>
      <c r="F2049" s="22"/>
      <c r="G2049" s="22"/>
      <c r="H2049" s="24"/>
      <c r="I2049" s="24"/>
      <c r="K2049" s="8"/>
    </row>
    <row r="2050">
      <c r="A2050" s="24"/>
      <c r="B2050" s="24"/>
      <c r="C2050" s="24"/>
      <c r="D2050" s="7"/>
      <c r="E2050" s="7"/>
      <c r="F2050" s="22"/>
      <c r="G2050" s="22"/>
      <c r="H2050" s="24"/>
      <c r="I2050" s="24"/>
      <c r="K2050" s="8"/>
    </row>
    <row r="2051">
      <c r="A2051" s="24"/>
      <c r="B2051" s="24"/>
      <c r="C2051" s="24"/>
      <c r="D2051" s="7"/>
      <c r="E2051" s="7"/>
      <c r="F2051" s="22"/>
      <c r="G2051" s="22"/>
      <c r="H2051" s="24"/>
      <c r="I2051" s="24"/>
      <c r="K2051" s="8"/>
    </row>
    <row r="2052">
      <c r="A2052" s="24"/>
      <c r="B2052" s="24"/>
      <c r="C2052" s="24"/>
      <c r="D2052" s="7"/>
      <c r="E2052" s="7"/>
      <c r="F2052" s="22"/>
      <c r="G2052" s="22"/>
      <c r="H2052" s="24"/>
      <c r="I2052" s="24"/>
      <c r="K2052" s="8"/>
    </row>
    <row r="2053">
      <c r="A2053" s="24"/>
      <c r="B2053" s="24"/>
      <c r="C2053" s="24"/>
      <c r="D2053" s="7"/>
      <c r="E2053" s="7"/>
      <c r="F2053" s="22"/>
      <c r="G2053" s="22"/>
      <c r="H2053" s="24"/>
      <c r="I2053" s="24"/>
      <c r="K2053" s="8"/>
    </row>
    <row r="2054">
      <c r="A2054" s="24"/>
      <c r="B2054" s="24"/>
      <c r="C2054" s="24"/>
      <c r="D2054" s="7"/>
      <c r="E2054" s="7"/>
      <c r="F2054" s="22"/>
      <c r="G2054" s="22"/>
      <c r="H2054" s="24"/>
      <c r="I2054" s="24"/>
      <c r="K2054" s="8"/>
    </row>
    <row r="2055">
      <c r="A2055" s="24"/>
      <c r="B2055" s="24"/>
      <c r="C2055" s="24"/>
      <c r="D2055" s="7"/>
      <c r="E2055" s="7"/>
      <c r="F2055" s="22"/>
      <c r="G2055" s="22"/>
      <c r="H2055" s="24"/>
      <c r="I2055" s="24"/>
      <c r="K2055" s="8"/>
    </row>
    <row r="2056">
      <c r="A2056" s="24"/>
      <c r="B2056" s="24"/>
      <c r="C2056" s="24"/>
      <c r="D2056" s="7"/>
      <c r="E2056" s="7"/>
      <c r="F2056" s="22"/>
      <c r="G2056" s="22"/>
      <c r="H2056" s="24"/>
      <c r="I2056" s="24"/>
      <c r="K2056" s="8"/>
    </row>
    <row r="2057">
      <c r="A2057" s="24"/>
      <c r="B2057" s="24"/>
      <c r="C2057" s="24"/>
      <c r="D2057" s="7"/>
      <c r="E2057" s="7"/>
      <c r="F2057" s="22"/>
      <c r="G2057" s="22"/>
      <c r="H2057" s="24"/>
      <c r="I2057" s="24"/>
      <c r="K2057" s="8"/>
    </row>
    <row r="2058">
      <c r="A2058" s="24"/>
      <c r="B2058" s="24"/>
      <c r="C2058" s="24"/>
      <c r="D2058" s="7"/>
      <c r="E2058" s="7"/>
      <c r="F2058" s="22"/>
      <c r="G2058" s="22"/>
      <c r="H2058" s="24"/>
      <c r="I2058" s="24"/>
      <c r="K2058" s="8"/>
    </row>
    <row r="2059">
      <c r="A2059" s="24"/>
      <c r="B2059" s="24"/>
      <c r="C2059" s="24"/>
      <c r="D2059" s="7"/>
      <c r="E2059" s="7"/>
      <c r="F2059" s="22"/>
      <c r="G2059" s="22"/>
      <c r="H2059" s="24"/>
      <c r="I2059" s="24"/>
      <c r="K2059" s="8"/>
    </row>
    <row r="2060">
      <c r="A2060" s="24"/>
      <c r="B2060" s="24"/>
      <c r="C2060" s="24"/>
      <c r="D2060" s="7"/>
      <c r="E2060" s="7"/>
      <c r="F2060" s="22"/>
      <c r="G2060" s="22"/>
      <c r="H2060" s="24"/>
      <c r="I2060" s="24"/>
      <c r="K2060" s="8"/>
    </row>
    <row r="2061">
      <c r="A2061" s="24"/>
      <c r="B2061" s="24"/>
      <c r="C2061" s="24"/>
      <c r="D2061" s="7"/>
      <c r="E2061" s="7"/>
      <c r="F2061" s="22"/>
      <c r="G2061" s="22"/>
      <c r="H2061" s="24"/>
      <c r="I2061" s="24"/>
      <c r="K2061" s="8"/>
    </row>
    <row r="2062">
      <c r="A2062" s="24"/>
      <c r="B2062" s="24"/>
      <c r="C2062" s="24"/>
      <c r="D2062" s="7"/>
      <c r="E2062" s="7"/>
      <c r="F2062" s="22"/>
      <c r="G2062" s="22"/>
      <c r="H2062" s="24"/>
      <c r="I2062" s="24"/>
      <c r="K2062" s="8"/>
    </row>
    <row r="2063">
      <c r="A2063" s="24"/>
      <c r="B2063" s="24"/>
      <c r="C2063" s="24"/>
      <c r="D2063" s="7"/>
      <c r="E2063" s="7"/>
      <c r="F2063" s="22"/>
      <c r="G2063" s="22"/>
      <c r="H2063" s="24"/>
      <c r="I2063" s="24"/>
      <c r="K2063" s="8"/>
    </row>
    <row r="2064">
      <c r="A2064" s="24"/>
      <c r="B2064" s="24"/>
      <c r="C2064" s="24"/>
      <c r="D2064" s="7"/>
      <c r="E2064" s="7"/>
      <c r="F2064" s="22"/>
      <c r="G2064" s="22"/>
      <c r="H2064" s="24"/>
      <c r="I2064" s="24"/>
      <c r="K2064" s="8"/>
    </row>
    <row r="2065">
      <c r="A2065" s="24"/>
      <c r="B2065" s="24"/>
      <c r="C2065" s="24"/>
      <c r="D2065" s="7"/>
      <c r="E2065" s="7"/>
      <c r="F2065" s="22"/>
      <c r="G2065" s="22"/>
      <c r="H2065" s="24"/>
      <c r="I2065" s="24"/>
      <c r="K2065" s="8"/>
    </row>
    <row r="2066">
      <c r="A2066" s="24"/>
      <c r="B2066" s="24"/>
      <c r="C2066" s="24"/>
      <c r="D2066" s="7"/>
      <c r="E2066" s="7"/>
      <c r="F2066" s="22"/>
      <c r="G2066" s="22"/>
      <c r="H2066" s="24"/>
      <c r="I2066" s="24"/>
      <c r="K2066" s="8"/>
    </row>
    <row r="2067">
      <c r="A2067" s="24"/>
      <c r="B2067" s="24"/>
      <c r="C2067" s="24"/>
      <c r="D2067" s="7"/>
      <c r="E2067" s="7"/>
      <c r="F2067" s="22"/>
      <c r="G2067" s="22"/>
      <c r="H2067" s="24"/>
      <c r="I2067" s="24"/>
      <c r="K2067" s="8"/>
    </row>
    <row r="2068">
      <c r="A2068" s="24"/>
      <c r="B2068" s="24"/>
      <c r="C2068" s="24"/>
      <c r="D2068" s="7"/>
      <c r="E2068" s="7"/>
      <c r="F2068" s="22"/>
      <c r="G2068" s="22"/>
      <c r="H2068" s="24"/>
      <c r="I2068" s="24"/>
      <c r="K2068" s="8"/>
    </row>
    <row r="2069">
      <c r="A2069" s="24"/>
      <c r="B2069" s="24"/>
      <c r="C2069" s="24"/>
      <c r="D2069" s="7"/>
      <c r="E2069" s="7"/>
      <c r="F2069" s="22"/>
      <c r="G2069" s="22"/>
      <c r="H2069" s="24"/>
      <c r="I2069" s="24"/>
      <c r="K2069" s="8"/>
    </row>
    <row r="2070">
      <c r="A2070" s="24"/>
      <c r="B2070" s="24"/>
      <c r="C2070" s="24"/>
      <c r="D2070" s="7"/>
      <c r="E2070" s="7"/>
      <c r="F2070" s="22"/>
      <c r="G2070" s="22"/>
      <c r="H2070" s="24"/>
      <c r="I2070" s="24"/>
      <c r="K2070" s="8"/>
    </row>
    <row r="2071">
      <c r="A2071" s="24"/>
      <c r="B2071" s="24"/>
      <c r="C2071" s="24"/>
      <c r="D2071" s="7"/>
      <c r="E2071" s="7"/>
      <c r="F2071" s="22"/>
      <c r="G2071" s="22"/>
      <c r="H2071" s="24"/>
      <c r="I2071" s="24"/>
      <c r="K2071" s="8"/>
    </row>
    <row r="2072">
      <c r="A2072" s="24"/>
      <c r="B2072" s="24"/>
      <c r="C2072" s="24"/>
      <c r="D2072" s="7"/>
      <c r="E2072" s="7"/>
      <c r="F2072" s="22"/>
      <c r="G2072" s="22"/>
      <c r="H2072" s="24"/>
      <c r="I2072" s="24"/>
      <c r="K2072" s="8"/>
    </row>
    <row r="2073">
      <c r="A2073" s="24"/>
      <c r="B2073" s="24"/>
      <c r="C2073" s="24"/>
      <c r="D2073" s="7"/>
      <c r="E2073" s="7"/>
      <c r="F2073" s="22"/>
      <c r="G2073" s="22"/>
      <c r="H2073" s="24"/>
      <c r="I2073" s="24"/>
      <c r="K2073" s="8"/>
    </row>
    <row r="2074">
      <c r="A2074" s="24"/>
      <c r="B2074" s="24"/>
      <c r="C2074" s="24"/>
      <c r="D2074" s="7"/>
      <c r="E2074" s="7"/>
      <c r="F2074" s="22"/>
      <c r="G2074" s="22"/>
      <c r="H2074" s="24"/>
      <c r="I2074" s="24"/>
      <c r="K2074" s="8"/>
    </row>
    <row r="2075">
      <c r="A2075" s="24"/>
      <c r="B2075" s="24"/>
      <c r="C2075" s="24"/>
      <c r="D2075" s="7"/>
      <c r="E2075" s="7"/>
      <c r="F2075" s="22"/>
      <c r="G2075" s="22"/>
      <c r="H2075" s="24"/>
      <c r="I2075" s="24"/>
      <c r="K2075" s="8"/>
    </row>
    <row r="2076">
      <c r="A2076" s="24"/>
      <c r="B2076" s="24"/>
      <c r="C2076" s="24"/>
      <c r="D2076" s="7"/>
      <c r="E2076" s="7"/>
      <c r="F2076" s="22"/>
      <c r="G2076" s="22"/>
      <c r="H2076" s="24"/>
      <c r="I2076" s="24"/>
      <c r="K2076" s="8"/>
    </row>
    <row r="2077">
      <c r="A2077" s="24"/>
      <c r="B2077" s="24"/>
      <c r="C2077" s="24"/>
      <c r="D2077" s="7"/>
      <c r="E2077" s="7"/>
      <c r="F2077" s="22"/>
      <c r="G2077" s="22"/>
      <c r="H2077" s="24"/>
      <c r="I2077" s="24"/>
      <c r="K2077" s="8"/>
    </row>
    <row r="2078">
      <c r="A2078" s="24"/>
      <c r="B2078" s="24"/>
      <c r="C2078" s="24"/>
      <c r="D2078" s="7"/>
      <c r="E2078" s="7"/>
      <c r="F2078" s="22"/>
      <c r="G2078" s="22"/>
      <c r="H2078" s="24"/>
      <c r="I2078" s="24"/>
      <c r="K2078" s="8"/>
    </row>
    <row r="2079">
      <c r="A2079" s="24"/>
      <c r="B2079" s="24"/>
      <c r="C2079" s="24"/>
      <c r="D2079" s="7"/>
      <c r="E2079" s="7"/>
      <c r="F2079" s="22"/>
      <c r="G2079" s="22"/>
      <c r="H2079" s="24"/>
      <c r="I2079" s="24"/>
      <c r="K2079" s="8"/>
    </row>
    <row r="2080">
      <c r="A2080" s="24"/>
      <c r="B2080" s="24"/>
      <c r="C2080" s="24"/>
      <c r="D2080" s="7"/>
      <c r="E2080" s="7"/>
      <c r="F2080" s="22"/>
      <c r="G2080" s="22"/>
      <c r="H2080" s="24"/>
      <c r="I2080" s="24"/>
      <c r="K2080" s="8"/>
    </row>
    <row r="2081">
      <c r="A2081" s="24"/>
      <c r="B2081" s="24"/>
      <c r="C2081" s="24"/>
      <c r="D2081" s="7"/>
      <c r="E2081" s="7"/>
      <c r="F2081" s="22"/>
      <c r="G2081" s="22"/>
      <c r="H2081" s="24"/>
      <c r="I2081" s="24"/>
      <c r="K2081" s="8"/>
    </row>
    <row r="2082">
      <c r="A2082" s="24"/>
      <c r="B2082" s="24"/>
      <c r="C2082" s="24"/>
      <c r="D2082" s="7"/>
      <c r="E2082" s="7"/>
      <c r="F2082" s="22"/>
      <c r="G2082" s="22"/>
      <c r="H2082" s="24"/>
      <c r="I2082" s="24"/>
      <c r="K2082" s="8"/>
    </row>
    <row r="2083">
      <c r="A2083" s="24"/>
      <c r="B2083" s="24"/>
      <c r="C2083" s="24"/>
      <c r="D2083" s="7"/>
      <c r="E2083" s="7"/>
      <c r="F2083" s="22"/>
      <c r="G2083" s="22"/>
      <c r="H2083" s="24"/>
      <c r="I2083" s="24"/>
      <c r="K2083" s="8"/>
    </row>
    <row r="2084">
      <c r="A2084" s="24"/>
      <c r="B2084" s="24"/>
      <c r="C2084" s="24"/>
      <c r="D2084" s="7"/>
      <c r="E2084" s="7"/>
      <c r="F2084" s="22"/>
      <c r="G2084" s="22"/>
      <c r="H2084" s="24"/>
      <c r="I2084" s="24"/>
      <c r="K2084" s="8"/>
    </row>
    <row r="2085">
      <c r="A2085" s="24"/>
      <c r="B2085" s="24"/>
      <c r="C2085" s="24"/>
      <c r="D2085" s="7"/>
      <c r="E2085" s="7"/>
      <c r="F2085" s="22"/>
      <c r="G2085" s="22"/>
      <c r="H2085" s="24"/>
      <c r="I2085" s="24"/>
      <c r="K2085" s="8"/>
    </row>
    <row r="2086">
      <c r="A2086" s="24"/>
      <c r="B2086" s="24"/>
      <c r="C2086" s="24"/>
      <c r="D2086" s="7"/>
      <c r="E2086" s="7"/>
      <c r="F2086" s="22"/>
      <c r="G2086" s="22"/>
      <c r="H2086" s="24"/>
      <c r="I2086" s="24"/>
      <c r="K2086" s="8"/>
    </row>
    <row r="2087">
      <c r="A2087" s="24"/>
      <c r="B2087" s="24"/>
      <c r="C2087" s="24"/>
      <c r="D2087" s="7"/>
      <c r="E2087" s="7"/>
      <c r="F2087" s="22"/>
      <c r="G2087" s="22"/>
      <c r="H2087" s="24"/>
      <c r="I2087" s="24"/>
      <c r="K2087" s="8"/>
    </row>
    <row r="2088">
      <c r="A2088" s="24"/>
      <c r="B2088" s="24"/>
      <c r="C2088" s="24"/>
      <c r="D2088" s="7"/>
      <c r="E2088" s="7"/>
      <c r="F2088" s="22"/>
      <c r="G2088" s="22"/>
      <c r="H2088" s="24"/>
      <c r="I2088" s="24"/>
      <c r="K2088" s="8"/>
    </row>
    <row r="2089">
      <c r="A2089" s="24"/>
      <c r="B2089" s="24"/>
      <c r="C2089" s="24"/>
      <c r="D2089" s="7"/>
      <c r="E2089" s="7"/>
      <c r="F2089" s="22"/>
      <c r="G2089" s="22"/>
      <c r="H2089" s="24"/>
      <c r="I2089" s="24"/>
      <c r="K2089" s="8"/>
    </row>
    <row r="2090">
      <c r="A2090" s="24"/>
      <c r="B2090" s="24"/>
      <c r="C2090" s="24"/>
      <c r="D2090" s="7"/>
      <c r="E2090" s="7"/>
      <c r="F2090" s="22"/>
      <c r="G2090" s="22"/>
      <c r="H2090" s="24"/>
      <c r="I2090" s="24"/>
      <c r="K2090" s="8"/>
    </row>
    <row r="2091">
      <c r="A2091" s="24"/>
      <c r="B2091" s="24"/>
      <c r="C2091" s="24"/>
      <c r="D2091" s="7"/>
      <c r="E2091" s="7"/>
      <c r="F2091" s="22"/>
      <c r="G2091" s="22"/>
      <c r="H2091" s="24"/>
      <c r="I2091" s="24"/>
      <c r="K2091" s="8"/>
    </row>
    <row r="2092">
      <c r="A2092" s="24"/>
      <c r="B2092" s="24"/>
      <c r="C2092" s="24"/>
      <c r="D2092" s="7"/>
      <c r="E2092" s="7"/>
      <c r="F2092" s="22"/>
      <c r="G2092" s="22"/>
      <c r="H2092" s="24"/>
      <c r="I2092" s="24"/>
      <c r="K2092" s="8"/>
    </row>
    <row r="2093">
      <c r="A2093" s="24"/>
      <c r="B2093" s="24"/>
      <c r="C2093" s="24"/>
      <c r="D2093" s="7"/>
      <c r="E2093" s="7"/>
      <c r="F2093" s="22"/>
      <c r="G2093" s="22"/>
      <c r="H2093" s="24"/>
      <c r="I2093" s="24"/>
      <c r="K2093" s="8"/>
    </row>
    <row r="2094">
      <c r="A2094" s="24"/>
      <c r="B2094" s="24"/>
      <c r="C2094" s="24"/>
      <c r="D2094" s="7"/>
      <c r="E2094" s="7"/>
      <c r="F2094" s="22"/>
      <c r="G2094" s="22"/>
      <c r="H2094" s="24"/>
      <c r="I2094" s="24"/>
      <c r="K2094" s="8"/>
    </row>
    <row r="2095">
      <c r="A2095" s="24"/>
      <c r="B2095" s="24"/>
      <c r="C2095" s="24"/>
      <c r="D2095" s="7"/>
      <c r="E2095" s="7"/>
      <c r="F2095" s="22"/>
      <c r="G2095" s="22"/>
      <c r="H2095" s="24"/>
      <c r="I2095" s="24"/>
      <c r="K2095" s="8"/>
    </row>
    <row r="2096">
      <c r="A2096" s="24"/>
      <c r="B2096" s="24"/>
      <c r="C2096" s="24"/>
      <c r="D2096" s="7"/>
      <c r="E2096" s="7"/>
      <c r="F2096" s="22"/>
      <c r="G2096" s="22"/>
      <c r="H2096" s="24"/>
      <c r="I2096" s="24"/>
      <c r="K2096" s="8"/>
    </row>
    <row r="2097">
      <c r="A2097" s="24"/>
      <c r="B2097" s="24"/>
      <c r="C2097" s="24"/>
      <c r="D2097" s="7"/>
      <c r="E2097" s="7"/>
      <c r="F2097" s="22"/>
      <c r="G2097" s="22"/>
      <c r="H2097" s="24"/>
      <c r="I2097" s="24"/>
      <c r="K2097" s="8"/>
    </row>
    <row r="2098">
      <c r="A2098" s="24"/>
      <c r="B2098" s="24"/>
      <c r="C2098" s="24"/>
      <c r="D2098" s="7"/>
      <c r="E2098" s="7"/>
      <c r="F2098" s="22"/>
      <c r="G2098" s="22"/>
      <c r="H2098" s="24"/>
      <c r="I2098" s="24"/>
      <c r="K2098" s="8"/>
    </row>
    <row r="2099">
      <c r="A2099" s="24"/>
      <c r="B2099" s="24"/>
      <c r="C2099" s="24"/>
      <c r="D2099" s="7"/>
      <c r="E2099" s="7"/>
      <c r="F2099" s="22"/>
      <c r="G2099" s="22"/>
      <c r="H2099" s="24"/>
      <c r="I2099" s="24"/>
      <c r="K2099" s="8"/>
    </row>
    <row r="2100">
      <c r="A2100" s="24"/>
      <c r="B2100" s="24"/>
      <c r="C2100" s="24"/>
      <c r="D2100" s="7"/>
      <c r="E2100" s="7"/>
      <c r="F2100" s="22"/>
      <c r="G2100" s="22"/>
      <c r="H2100" s="24"/>
      <c r="I2100" s="24"/>
      <c r="K2100" s="8"/>
    </row>
    <row r="2101">
      <c r="A2101" s="24"/>
      <c r="B2101" s="24"/>
      <c r="C2101" s="24"/>
      <c r="D2101" s="7"/>
      <c r="E2101" s="7"/>
      <c r="F2101" s="22"/>
      <c r="G2101" s="22"/>
      <c r="H2101" s="24"/>
      <c r="I2101" s="24"/>
      <c r="K2101" s="8"/>
    </row>
    <row r="2102">
      <c r="A2102" s="24"/>
      <c r="B2102" s="24"/>
      <c r="C2102" s="24"/>
      <c r="D2102" s="7"/>
      <c r="E2102" s="7"/>
      <c r="F2102" s="22"/>
      <c r="G2102" s="22"/>
      <c r="H2102" s="24"/>
      <c r="I2102" s="24"/>
      <c r="K2102" s="8"/>
    </row>
    <row r="2103">
      <c r="A2103" s="24"/>
      <c r="B2103" s="24"/>
      <c r="C2103" s="24"/>
      <c r="D2103" s="7"/>
      <c r="E2103" s="7"/>
      <c r="F2103" s="22"/>
      <c r="G2103" s="22"/>
      <c r="H2103" s="24"/>
      <c r="I2103" s="24"/>
      <c r="K2103" s="8"/>
    </row>
    <row r="2104">
      <c r="A2104" s="24"/>
      <c r="B2104" s="24"/>
      <c r="C2104" s="24"/>
      <c r="D2104" s="7"/>
      <c r="E2104" s="7"/>
      <c r="F2104" s="22"/>
      <c r="G2104" s="22"/>
      <c r="H2104" s="24"/>
      <c r="I2104" s="24"/>
      <c r="K2104" s="8"/>
    </row>
    <row r="2105">
      <c r="A2105" s="24"/>
      <c r="B2105" s="24"/>
      <c r="C2105" s="24"/>
      <c r="D2105" s="7"/>
      <c r="E2105" s="7"/>
      <c r="F2105" s="22"/>
      <c r="G2105" s="22"/>
      <c r="H2105" s="24"/>
      <c r="I2105" s="24"/>
      <c r="K2105" s="8"/>
    </row>
    <row r="2106">
      <c r="A2106" s="24"/>
      <c r="B2106" s="24"/>
      <c r="C2106" s="24"/>
      <c r="D2106" s="7"/>
      <c r="E2106" s="7"/>
      <c r="F2106" s="22"/>
      <c r="G2106" s="22"/>
      <c r="H2106" s="24"/>
      <c r="I2106" s="24"/>
      <c r="K2106" s="8"/>
    </row>
    <row r="2107">
      <c r="A2107" s="24"/>
      <c r="B2107" s="24"/>
      <c r="C2107" s="24"/>
      <c r="D2107" s="7"/>
      <c r="E2107" s="7"/>
      <c r="F2107" s="22"/>
      <c r="G2107" s="22"/>
      <c r="H2107" s="24"/>
      <c r="I2107" s="24"/>
      <c r="K2107" s="8"/>
    </row>
    <row r="2108">
      <c r="A2108" s="24"/>
      <c r="B2108" s="24"/>
      <c r="C2108" s="24"/>
      <c r="D2108" s="7"/>
      <c r="E2108" s="7"/>
      <c r="F2108" s="22"/>
      <c r="G2108" s="22"/>
      <c r="H2108" s="24"/>
      <c r="I2108" s="24"/>
      <c r="K2108" s="8"/>
    </row>
    <row r="2109">
      <c r="A2109" s="24"/>
      <c r="B2109" s="24"/>
      <c r="C2109" s="24"/>
      <c r="D2109" s="7"/>
      <c r="E2109" s="7"/>
      <c r="F2109" s="22"/>
      <c r="G2109" s="22"/>
      <c r="H2109" s="24"/>
      <c r="I2109" s="24"/>
      <c r="K2109" s="8"/>
    </row>
    <row r="2110">
      <c r="A2110" s="24"/>
      <c r="B2110" s="24"/>
      <c r="C2110" s="24"/>
      <c r="D2110" s="7"/>
      <c r="E2110" s="7"/>
      <c r="F2110" s="22"/>
      <c r="G2110" s="22"/>
      <c r="H2110" s="24"/>
      <c r="I2110" s="24"/>
      <c r="K2110" s="8"/>
    </row>
    <row r="2111">
      <c r="A2111" s="24"/>
      <c r="B2111" s="24"/>
      <c r="C2111" s="24"/>
      <c r="D2111" s="7"/>
      <c r="E2111" s="7"/>
      <c r="F2111" s="22"/>
      <c r="G2111" s="22"/>
      <c r="H2111" s="24"/>
      <c r="I2111" s="24"/>
      <c r="K2111" s="8"/>
    </row>
    <row r="2112">
      <c r="A2112" s="24"/>
      <c r="B2112" s="24"/>
      <c r="C2112" s="24"/>
      <c r="D2112" s="7"/>
      <c r="E2112" s="7"/>
      <c r="F2112" s="22"/>
      <c r="G2112" s="22"/>
      <c r="H2112" s="24"/>
      <c r="I2112" s="24"/>
      <c r="K2112" s="8"/>
    </row>
    <row r="2113">
      <c r="A2113" s="24"/>
      <c r="B2113" s="24"/>
      <c r="C2113" s="24"/>
      <c r="D2113" s="7"/>
      <c r="E2113" s="7"/>
      <c r="F2113" s="22"/>
      <c r="G2113" s="22"/>
      <c r="H2113" s="24"/>
      <c r="I2113" s="24"/>
      <c r="K2113" s="8"/>
    </row>
    <row r="2114">
      <c r="A2114" s="24"/>
      <c r="B2114" s="24"/>
      <c r="C2114" s="24"/>
      <c r="D2114" s="7"/>
      <c r="E2114" s="7"/>
      <c r="F2114" s="22"/>
      <c r="G2114" s="22"/>
      <c r="H2114" s="24"/>
      <c r="I2114" s="24"/>
      <c r="K2114" s="8"/>
    </row>
    <row r="2115">
      <c r="A2115" s="24"/>
      <c r="B2115" s="24"/>
      <c r="C2115" s="24"/>
      <c r="D2115" s="7"/>
      <c r="E2115" s="7"/>
      <c r="F2115" s="22"/>
      <c r="G2115" s="22"/>
      <c r="H2115" s="24"/>
      <c r="I2115" s="24"/>
      <c r="K2115" s="8"/>
    </row>
    <row r="2116">
      <c r="A2116" s="24"/>
      <c r="B2116" s="24"/>
      <c r="C2116" s="24"/>
      <c r="D2116" s="7"/>
      <c r="E2116" s="7"/>
      <c r="F2116" s="22"/>
      <c r="G2116" s="22"/>
      <c r="H2116" s="24"/>
      <c r="I2116" s="24"/>
      <c r="K2116" s="8"/>
    </row>
    <row r="2117">
      <c r="A2117" s="24"/>
      <c r="B2117" s="24"/>
      <c r="C2117" s="24"/>
      <c r="D2117" s="7"/>
      <c r="E2117" s="7"/>
      <c r="F2117" s="22"/>
      <c r="G2117" s="22"/>
      <c r="H2117" s="24"/>
      <c r="I2117" s="24"/>
      <c r="K2117" s="8"/>
    </row>
    <row r="2118">
      <c r="A2118" s="24"/>
      <c r="B2118" s="24"/>
      <c r="C2118" s="24"/>
      <c r="D2118" s="7"/>
      <c r="E2118" s="7"/>
      <c r="F2118" s="22"/>
      <c r="G2118" s="22"/>
      <c r="H2118" s="24"/>
      <c r="I2118" s="24"/>
      <c r="K2118" s="8"/>
    </row>
    <row r="2119">
      <c r="A2119" s="24"/>
      <c r="B2119" s="24"/>
      <c r="C2119" s="24"/>
      <c r="D2119" s="7"/>
      <c r="E2119" s="7"/>
      <c r="F2119" s="22"/>
      <c r="G2119" s="22"/>
      <c r="H2119" s="24"/>
      <c r="I2119" s="24"/>
      <c r="K2119" s="8"/>
    </row>
    <row r="2120">
      <c r="A2120" s="24"/>
      <c r="B2120" s="24"/>
      <c r="C2120" s="24"/>
      <c r="D2120" s="7"/>
      <c r="E2120" s="7"/>
      <c r="F2120" s="22"/>
      <c r="G2120" s="22"/>
      <c r="H2120" s="24"/>
      <c r="I2120" s="24"/>
      <c r="K2120" s="8"/>
    </row>
    <row r="2121">
      <c r="A2121" s="24"/>
      <c r="B2121" s="24"/>
      <c r="C2121" s="24"/>
      <c r="D2121" s="7"/>
      <c r="E2121" s="7"/>
      <c r="F2121" s="22"/>
      <c r="G2121" s="22"/>
      <c r="H2121" s="24"/>
      <c r="I2121" s="24"/>
      <c r="K2121" s="8"/>
    </row>
    <row r="2122">
      <c r="A2122" s="24"/>
      <c r="B2122" s="24"/>
      <c r="C2122" s="24"/>
      <c r="D2122" s="7"/>
      <c r="E2122" s="7"/>
      <c r="F2122" s="22"/>
      <c r="G2122" s="22"/>
      <c r="H2122" s="24"/>
      <c r="I2122" s="24"/>
      <c r="K2122" s="8"/>
    </row>
    <row r="2123">
      <c r="A2123" s="24"/>
      <c r="B2123" s="24"/>
      <c r="C2123" s="24"/>
      <c r="D2123" s="7"/>
      <c r="E2123" s="7"/>
      <c r="F2123" s="22"/>
      <c r="G2123" s="22"/>
      <c r="H2123" s="24"/>
      <c r="I2123" s="24"/>
      <c r="K2123" s="8"/>
    </row>
    <row r="2124">
      <c r="A2124" s="24"/>
      <c r="B2124" s="24"/>
      <c r="C2124" s="24"/>
      <c r="D2124" s="7"/>
      <c r="E2124" s="7"/>
      <c r="F2124" s="22"/>
      <c r="G2124" s="22"/>
      <c r="H2124" s="24"/>
      <c r="I2124" s="24"/>
      <c r="K2124" s="8"/>
    </row>
    <row r="2125">
      <c r="A2125" s="24"/>
      <c r="B2125" s="24"/>
      <c r="C2125" s="24"/>
      <c r="D2125" s="7"/>
      <c r="E2125" s="7"/>
      <c r="F2125" s="22"/>
      <c r="G2125" s="22"/>
      <c r="H2125" s="24"/>
      <c r="I2125" s="24"/>
      <c r="K2125" s="8"/>
    </row>
    <row r="2126">
      <c r="A2126" s="24"/>
      <c r="B2126" s="24"/>
      <c r="C2126" s="24"/>
      <c r="D2126" s="7"/>
      <c r="E2126" s="7"/>
      <c r="F2126" s="22"/>
      <c r="G2126" s="22"/>
      <c r="H2126" s="24"/>
      <c r="I2126" s="24"/>
      <c r="K2126" s="8"/>
    </row>
    <row r="2127">
      <c r="A2127" s="24"/>
      <c r="B2127" s="24"/>
      <c r="C2127" s="24"/>
      <c r="D2127" s="7"/>
      <c r="E2127" s="7"/>
      <c r="F2127" s="22"/>
      <c r="G2127" s="22"/>
      <c r="H2127" s="24"/>
      <c r="I2127" s="24"/>
      <c r="K2127" s="8"/>
    </row>
    <row r="2128">
      <c r="A2128" s="24"/>
      <c r="B2128" s="24"/>
      <c r="C2128" s="24"/>
      <c r="D2128" s="7"/>
      <c r="E2128" s="7"/>
      <c r="F2128" s="22"/>
      <c r="G2128" s="22"/>
      <c r="H2128" s="24"/>
      <c r="I2128" s="24"/>
      <c r="K2128" s="8"/>
    </row>
    <row r="2129">
      <c r="A2129" s="24"/>
      <c r="B2129" s="24"/>
      <c r="C2129" s="24"/>
      <c r="D2129" s="7"/>
      <c r="E2129" s="7"/>
      <c r="F2129" s="22"/>
      <c r="G2129" s="22"/>
      <c r="H2129" s="24"/>
      <c r="I2129" s="24"/>
      <c r="K2129" s="8"/>
    </row>
    <row r="2130">
      <c r="A2130" s="24"/>
      <c r="B2130" s="24"/>
      <c r="C2130" s="24"/>
      <c r="D2130" s="7"/>
      <c r="E2130" s="7"/>
      <c r="F2130" s="22"/>
      <c r="G2130" s="22"/>
      <c r="H2130" s="24"/>
      <c r="I2130" s="24"/>
      <c r="K2130" s="8"/>
    </row>
    <row r="2131">
      <c r="A2131" s="24"/>
      <c r="B2131" s="24"/>
      <c r="C2131" s="24"/>
      <c r="D2131" s="7"/>
      <c r="E2131" s="7"/>
      <c r="F2131" s="22"/>
      <c r="G2131" s="22"/>
      <c r="H2131" s="24"/>
      <c r="I2131" s="24"/>
      <c r="K2131" s="8"/>
    </row>
    <row r="2132">
      <c r="A2132" s="24"/>
      <c r="B2132" s="24"/>
      <c r="C2132" s="24"/>
      <c r="D2132" s="7"/>
      <c r="E2132" s="7"/>
      <c r="F2132" s="22"/>
      <c r="G2132" s="22"/>
      <c r="H2132" s="24"/>
      <c r="I2132" s="24"/>
      <c r="K2132" s="8"/>
    </row>
    <row r="2133">
      <c r="A2133" s="24"/>
      <c r="B2133" s="24"/>
      <c r="C2133" s="24"/>
      <c r="D2133" s="7"/>
      <c r="E2133" s="7"/>
      <c r="F2133" s="22"/>
      <c r="G2133" s="22"/>
      <c r="H2133" s="24"/>
      <c r="I2133" s="24"/>
      <c r="K2133" s="8"/>
    </row>
    <row r="2134">
      <c r="A2134" s="24"/>
      <c r="B2134" s="24"/>
      <c r="C2134" s="24"/>
      <c r="D2134" s="7"/>
      <c r="E2134" s="7"/>
      <c r="F2134" s="22"/>
      <c r="G2134" s="22"/>
      <c r="H2134" s="24"/>
      <c r="I2134" s="24"/>
      <c r="K2134" s="8"/>
    </row>
    <row r="2135">
      <c r="A2135" s="24"/>
      <c r="B2135" s="24"/>
      <c r="C2135" s="24"/>
      <c r="D2135" s="7"/>
      <c r="E2135" s="7"/>
      <c r="F2135" s="22"/>
      <c r="G2135" s="22"/>
      <c r="H2135" s="24"/>
      <c r="I2135" s="24"/>
      <c r="K2135" s="8"/>
    </row>
    <row r="2136">
      <c r="A2136" s="24"/>
      <c r="B2136" s="24"/>
      <c r="C2136" s="24"/>
      <c r="D2136" s="7"/>
      <c r="E2136" s="7"/>
      <c r="F2136" s="22"/>
      <c r="G2136" s="22"/>
      <c r="H2136" s="24"/>
      <c r="I2136" s="24"/>
      <c r="K2136" s="8"/>
    </row>
    <row r="2137">
      <c r="A2137" s="24"/>
      <c r="B2137" s="24"/>
      <c r="C2137" s="24"/>
      <c r="D2137" s="7"/>
      <c r="E2137" s="7"/>
      <c r="F2137" s="22"/>
      <c r="G2137" s="22"/>
      <c r="H2137" s="24"/>
      <c r="I2137" s="24"/>
      <c r="K2137" s="8"/>
    </row>
    <row r="2138">
      <c r="A2138" s="24"/>
      <c r="B2138" s="24"/>
      <c r="C2138" s="24"/>
      <c r="D2138" s="7"/>
      <c r="E2138" s="7"/>
      <c r="F2138" s="22"/>
      <c r="G2138" s="22"/>
      <c r="H2138" s="24"/>
      <c r="I2138" s="24"/>
      <c r="K2138" s="8"/>
    </row>
    <row r="2139">
      <c r="A2139" s="24"/>
      <c r="B2139" s="24"/>
      <c r="C2139" s="24"/>
      <c r="D2139" s="7"/>
      <c r="E2139" s="7"/>
      <c r="F2139" s="22"/>
      <c r="G2139" s="22"/>
      <c r="H2139" s="24"/>
      <c r="I2139" s="24"/>
      <c r="K2139" s="8"/>
    </row>
    <row r="2140">
      <c r="A2140" s="24"/>
      <c r="B2140" s="24"/>
      <c r="C2140" s="24"/>
      <c r="D2140" s="7"/>
      <c r="E2140" s="7"/>
      <c r="F2140" s="22"/>
      <c r="G2140" s="22"/>
      <c r="H2140" s="24"/>
      <c r="I2140" s="24"/>
      <c r="K2140" s="8"/>
    </row>
    <row r="2141">
      <c r="A2141" s="24"/>
      <c r="B2141" s="24"/>
      <c r="C2141" s="24"/>
      <c r="D2141" s="7"/>
      <c r="E2141" s="7"/>
      <c r="F2141" s="22"/>
      <c r="G2141" s="22"/>
      <c r="H2141" s="24"/>
      <c r="I2141" s="24"/>
      <c r="K2141" s="8"/>
    </row>
    <row r="2142">
      <c r="A2142" s="24"/>
      <c r="B2142" s="24"/>
      <c r="C2142" s="24"/>
      <c r="D2142" s="7"/>
      <c r="E2142" s="7"/>
      <c r="F2142" s="22"/>
      <c r="G2142" s="22"/>
      <c r="H2142" s="24"/>
      <c r="I2142" s="24"/>
      <c r="K2142" s="8"/>
    </row>
    <row r="2143">
      <c r="A2143" s="24"/>
      <c r="B2143" s="24"/>
      <c r="C2143" s="24"/>
      <c r="D2143" s="7"/>
      <c r="E2143" s="7"/>
      <c r="F2143" s="22"/>
      <c r="G2143" s="22"/>
      <c r="H2143" s="24"/>
      <c r="I2143" s="24"/>
      <c r="K2143" s="8"/>
    </row>
    <row r="2144">
      <c r="A2144" s="24"/>
      <c r="B2144" s="24"/>
      <c r="C2144" s="24"/>
      <c r="D2144" s="7"/>
      <c r="E2144" s="7"/>
      <c r="F2144" s="22"/>
      <c r="G2144" s="22"/>
      <c r="H2144" s="24"/>
      <c r="I2144" s="24"/>
      <c r="K2144" s="8"/>
    </row>
    <row r="2145">
      <c r="A2145" s="24"/>
      <c r="B2145" s="24"/>
      <c r="C2145" s="24"/>
      <c r="D2145" s="7"/>
      <c r="E2145" s="7"/>
      <c r="F2145" s="22"/>
      <c r="G2145" s="22"/>
      <c r="H2145" s="24"/>
      <c r="I2145" s="24"/>
      <c r="K2145" s="8"/>
    </row>
    <row r="2146">
      <c r="A2146" s="24"/>
      <c r="B2146" s="24"/>
      <c r="C2146" s="24"/>
      <c r="D2146" s="7"/>
      <c r="E2146" s="7"/>
      <c r="F2146" s="22"/>
      <c r="G2146" s="22"/>
      <c r="H2146" s="24"/>
      <c r="I2146" s="24"/>
      <c r="K2146" s="8"/>
    </row>
    <row r="2147">
      <c r="A2147" s="24"/>
      <c r="B2147" s="24"/>
      <c r="C2147" s="24"/>
      <c r="D2147" s="7"/>
      <c r="E2147" s="7"/>
      <c r="F2147" s="22"/>
      <c r="G2147" s="22"/>
      <c r="H2147" s="24"/>
      <c r="I2147" s="24"/>
      <c r="K2147" s="8"/>
    </row>
    <row r="2148">
      <c r="A2148" s="24"/>
      <c r="B2148" s="24"/>
      <c r="C2148" s="24"/>
      <c r="D2148" s="7"/>
      <c r="E2148" s="7"/>
      <c r="F2148" s="22"/>
      <c r="G2148" s="22"/>
      <c r="H2148" s="24"/>
      <c r="I2148" s="24"/>
      <c r="K2148" s="8"/>
    </row>
    <row r="2149">
      <c r="A2149" s="24"/>
      <c r="B2149" s="24"/>
      <c r="C2149" s="24"/>
      <c r="D2149" s="7"/>
      <c r="E2149" s="7"/>
      <c r="F2149" s="22"/>
      <c r="G2149" s="22"/>
      <c r="H2149" s="24"/>
      <c r="I2149" s="24"/>
      <c r="K2149" s="8"/>
    </row>
    <row r="2150">
      <c r="A2150" s="24"/>
      <c r="B2150" s="24"/>
      <c r="C2150" s="24"/>
      <c r="D2150" s="7"/>
      <c r="E2150" s="7"/>
      <c r="F2150" s="22"/>
      <c r="G2150" s="22"/>
      <c r="H2150" s="24"/>
      <c r="I2150" s="24"/>
      <c r="K2150" s="8"/>
    </row>
    <row r="2151">
      <c r="A2151" s="24"/>
      <c r="B2151" s="24"/>
      <c r="C2151" s="24"/>
      <c r="D2151" s="7"/>
      <c r="E2151" s="7"/>
      <c r="F2151" s="22"/>
      <c r="G2151" s="22"/>
      <c r="H2151" s="24"/>
      <c r="I2151" s="24"/>
      <c r="K2151" s="8"/>
    </row>
    <row r="2152">
      <c r="A2152" s="24"/>
      <c r="B2152" s="24"/>
      <c r="C2152" s="24"/>
      <c r="D2152" s="7"/>
      <c r="E2152" s="7"/>
      <c r="F2152" s="22"/>
      <c r="G2152" s="22"/>
      <c r="H2152" s="24"/>
      <c r="I2152" s="24"/>
      <c r="K2152" s="8"/>
    </row>
    <row r="2153">
      <c r="A2153" s="24"/>
      <c r="B2153" s="24"/>
      <c r="C2153" s="24"/>
      <c r="D2153" s="7"/>
      <c r="E2153" s="7"/>
      <c r="F2153" s="22"/>
      <c r="G2153" s="22"/>
      <c r="H2153" s="24"/>
      <c r="I2153" s="24"/>
      <c r="K2153" s="8"/>
    </row>
    <row r="2154">
      <c r="A2154" s="24"/>
      <c r="B2154" s="24"/>
      <c r="C2154" s="24"/>
      <c r="D2154" s="7"/>
      <c r="E2154" s="7"/>
      <c r="F2154" s="22"/>
      <c r="G2154" s="22"/>
      <c r="H2154" s="24"/>
      <c r="I2154" s="24"/>
      <c r="K2154" s="8"/>
    </row>
    <row r="2155">
      <c r="A2155" s="24"/>
      <c r="B2155" s="24"/>
      <c r="C2155" s="24"/>
      <c r="D2155" s="7"/>
      <c r="E2155" s="7"/>
      <c r="F2155" s="22"/>
      <c r="G2155" s="22"/>
      <c r="H2155" s="24"/>
      <c r="I2155" s="24"/>
      <c r="K2155" s="8"/>
    </row>
    <row r="2156">
      <c r="A2156" s="24"/>
      <c r="B2156" s="24"/>
      <c r="C2156" s="24"/>
      <c r="D2156" s="7"/>
      <c r="E2156" s="7"/>
      <c r="F2156" s="22"/>
      <c r="G2156" s="22"/>
      <c r="H2156" s="24"/>
      <c r="I2156" s="24"/>
      <c r="K2156" s="8"/>
    </row>
    <row r="2157">
      <c r="A2157" s="24"/>
      <c r="B2157" s="24"/>
      <c r="C2157" s="24"/>
      <c r="D2157" s="7"/>
      <c r="E2157" s="7"/>
      <c r="F2157" s="22"/>
      <c r="G2157" s="22"/>
      <c r="H2157" s="24"/>
      <c r="I2157" s="24"/>
      <c r="K2157" s="8"/>
    </row>
    <row r="2158">
      <c r="A2158" s="24"/>
      <c r="B2158" s="24"/>
      <c r="C2158" s="24"/>
      <c r="D2158" s="7"/>
      <c r="E2158" s="7"/>
      <c r="F2158" s="22"/>
      <c r="G2158" s="22"/>
      <c r="H2158" s="24"/>
      <c r="I2158" s="24"/>
      <c r="K2158" s="8"/>
    </row>
    <row r="2159">
      <c r="A2159" s="24"/>
      <c r="B2159" s="24"/>
      <c r="C2159" s="24"/>
      <c r="D2159" s="7"/>
      <c r="E2159" s="7"/>
      <c r="F2159" s="22"/>
      <c r="G2159" s="22"/>
      <c r="H2159" s="24"/>
      <c r="I2159" s="24"/>
      <c r="K2159" s="8"/>
    </row>
    <row r="2160">
      <c r="A2160" s="24"/>
      <c r="B2160" s="24"/>
      <c r="C2160" s="24"/>
      <c r="D2160" s="7"/>
      <c r="E2160" s="7"/>
      <c r="F2160" s="22"/>
      <c r="G2160" s="22"/>
      <c r="H2160" s="24"/>
      <c r="I2160" s="24"/>
      <c r="K2160" s="8"/>
    </row>
    <row r="2161">
      <c r="A2161" s="24"/>
      <c r="B2161" s="24"/>
      <c r="C2161" s="24"/>
      <c r="D2161" s="7"/>
      <c r="E2161" s="7"/>
      <c r="F2161" s="22"/>
      <c r="G2161" s="22"/>
      <c r="H2161" s="24"/>
      <c r="I2161" s="24"/>
      <c r="K2161" s="8"/>
    </row>
    <row r="2162">
      <c r="A2162" s="24"/>
      <c r="B2162" s="24"/>
      <c r="C2162" s="24"/>
      <c r="D2162" s="7"/>
      <c r="E2162" s="7"/>
      <c r="F2162" s="22"/>
      <c r="G2162" s="22"/>
      <c r="H2162" s="24"/>
      <c r="I2162" s="24"/>
      <c r="K2162" s="8"/>
    </row>
    <row r="2163">
      <c r="A2163" s="24"/>
      <c r="B2163" s="24"/>
      <c r="C2163" s="24"/>
      <c r="D2163" s="7"/>
      <c r="E2163" s="7"/>
      <c r="F2163" s="22"/>
      <c r="G2163" s="22"/>
      <c r="H2163" s="24"/>
      <c r="I2163" s="24"/>
      <c r="K2163" s="8"/>
    </row>
    <row r="2164">
      <c r="A2164" s="24"/>
      <c r="B2164" s="24"/>
      <c r="C2164" s="24"/>
      <c r="D2164" s="7"/>
      <c r="E2164" s="7"/>
      <c r="F2164" s="22"/>
      <c r="G2164" s="22"/>
      <c r="H2164" s="24"/>
      <c r="I2164" s="24"/>
      <c r="K2164" s="8"/>
    </row>
    <row r="2165">
      <c r="A2165" s="24"/>
      <c r="B2165" s="24"/>
      <c r="C2165" s="24"/>
      <c r="D2165" s="7"/>
      <c r="E2165" s="7"/>
      <c r="F2165" s="22"/>
      <c r="G2165" s="22"/>
      <c r="H2165" s="24"/>
      <c r="I2165" s="24"/>
      <c r="K2165" s="8"/>
    </row>
    <row r="2166">
      <c r="A2166" s="24"/>
      <c r="B2166" s="24"/>
      <c r="C2166" s="24"/>
      <c r="D2166" s="7"/>
      <c r="E2166" s="7"/>
      <c r="F2166" s="22"/>
      <c r="G2166" s="22"/>
      <c r="H2166" s="24"/>
      <c r="I2166" s="24"/>
      <c r="K2166" s="8"/>
    </row>
    <row r="2167">
      <c r="A2167" s="24"/>
      <c r="B2167" s="24"/>
      <c r="C2167" s="24"/>
      <c r="D2167" s="7"/>
      <c r="E2167" s="7"/>
      <c r="F2167" s="22"/>
      <c r="G2167" s="22"/>
      <c r="H2167" s="24"/>
      <c r="I2167" s="24"/>
      <c r="K2167" s="8"/>
    </row>
    <row r="2168">
      <c r="A2168" s="24"/>
      <c r="B2168" s="24"/>
      <c r="C2168" s="24"/>
      <c r="D2168" s="7"/>
      <c r="E2168" s="7"/>
      <c r="F2168" s="22"/>
      <c r="G2168" s="22"/>
      <c r="H2168" s="24"/>
      <c r="I2168" s="24"/>
      <c r="K2168" s="8"/>
    </row>
    <row r="2169">
      <c r="A2169" s="24"/>
      <c r="B2169" s="24"/>
      <c r="C2169" s="24"/>
      <c r="D2169" s="7"/>
      <c r="E2169" s="7"/>
      <c r="F2169" s="22"/>
      <c r="G2169" s="22"/>
      <c r="H2169" s="24"/>
      <c r="I2169" s="24"/>
      <c r="K2169" s="8"/>
    </row>
    <row r="2170">
      <c r="A2170" s="24"/>
      <c r="B2170" s="24"/>
      <c r="C2170" s="24"/>
      <c r="D2170" s="7"/>
      <c r="E2170" s="7"/>
      <c r="F2170" s="22"/>
      <c r="G2170" s="22"/>
      <c r="H2170" s="24"/>
      <c r="I2170" s="24"/>
      <c r="K2170" s="8"/>
    </row>
    <row r="2171">
      <c r="A2171" s="24"/>
      <c r="B2171" s="24"/>
      <c r="C2171" s="24"/>
      <c r="D2171" s="7"/>
      <c r="E2171" s="7"/>
      <c r="F2171" s="22"/>
      <c r="G2171" s="22"/>
      <c r="H2171" s="24"/>
      <c r="I2171" s="24"/>
      <c r="K2171" s="8"/>
    </row>
    <row r="2172">
      <c r="A2172" s="24"/>
      <c r="B2172" s="24"/>
      <c r="C2172" s="24"/>
      <c r="D2172" s="7"/>
      <c r="E2172" s="7"/>
      <c r="F2172" s="22"/>
      <c r="G2172" s="22"/>
      <c r="H2172" s="24"/>
      <c r="I2172" s="24"/>
      <c r="K2172" s="8"/>
    </row>
    <row r="2173">
      <c r="A2173" s="24"/>
      <c r="B2173" s="24"/>
      <c r="C2173" s="24"/>
      <c r="D2173" s="7"/>
      <c r="E2173" s="7"/>
      <c r="F2173" s="22"/>
      <c r="G2173" s="22"/>
      <c r="H2173" s="24"/>
      <c r="I2173" s="24"/>
      <c r="K2173" s="8"/>
    </row>
    <row r="2174">
      <c r="A2174" s="24"/>
      <c r="B2174" s="24"/>
      <c r="C2174" s="24"/>
      <c r="D2174" s="7"/>
      <c r="E2174" s="7"/>
      <c r="F2174" s="22"/>
      <c r="G2174" s="22"/>
      <c r="H2174" s="24"/>
      <c r="I2174" s="24"/>
      <c r="K2174" s="8"/>
    </row>
    <row r="2175">
      <c r="A2175" s="24"/>
      <c r="B2175" s="24"/>
      <c r="C2175" s="24"/>
      <c r="D2175" s="7"/>
      <c r="E2175" s="7"/>
      <c r="F2175" s="22"/>
      <c r="G2175" s="22"/>
      <c r="H2175" s="24"/>
      <c r="I2175" s="24"/>
      <c r="K2175" s="8"/>
    </row>
    <row r="2176">
      <c r="A2176" s="24"/>
      <c r="B2176" s="24"/>
      <c r="C2176" s="24"/>
      <c r="D2176" s="7"/>
      <c r="E2176" s="7"/>
      <c r="F2176" s="22"/>
      <c r="G2176" s="22"/>
      <c r="H2176" s="24"/>
      <c r="I2176" s="24"/>
      <c r="K2176" s="8"/>
    </row>
    <row r="2177">
      <c r="A2177" s="24"/>
      <c r="B2177" s="24"/>
      <c r="C2177" s="24"/>
      <c r="D2177" s="7"/>
      <c r="E2177" s="7"/>
      <c r="F2177" s="22"/>
      <c r="G2177" s="22"/>
      <c r="H2177" s="24"/>
      <c r="I2177" s="24"/>
      <c r="K2177" s="8"/>
    </row>
    <row r="2178">
      <c r="A2178" s="24"/>
      <c r="B2178" s="24"/>
      <c r="C2178" s="24"/>
      <c r="D2178" s="7"/>
      <c r="E2178" s="7"/>
      <c r="F2178" s="22"/>
      <c r="G2178" s="22"/>
      <c r="H2178" s="24"/>
      <c r="I2178" s="24"/>
      <c r="K2178" s="8"/>
    </row>
    <row r="2179">
      <c r="A2179" s="24"/>
      <c r="B2179" s="24"/>
      <c r="C2179" s="24"/>
      <c r="D2179" s="7"/>
      <c r="E2179" s="7"/>
      <c r="F2179" s="22"/>
      <c r="G2179" s="22"/>
      <c r="H2179" s="24"/>
      <c r="I2179" s="24"/>
      <c r="K2179" s="8"/>
    </row>
    <row r="2180">
      <c r="A2180" s="24"/>
      <c r="B2180" s="24"/>
      <c r="C2180" s="24"/>
      <c r="D2180" s="7"/>
      <c r="E2180" s="7"/>
      <c r="F2180" s="22"/>
      <c r="G2180" s="22"/>
      <c r="H2180" s="24"/>
      <c r="I2180" s="24"/>
      <c r="K2180" s="8"/>
    </row>
    <row r="2181">
      <c r="A2181" s="24"/>
      <c r="B2181" s="24"/>
      <c r="C2181" s="24"/>
      <c r="D2181" s="7"/>
      <c r="E2181" s="7"/>
      <c r="F2181" s="22"/>
      <c r="G2181" s="22"/>
      <c r="H2181" s="24"/>
      <c r="I2181" s="24"/>
      <c r="K2181" s="8"/>
    </row>
    <row r="2182">
      <c r="A2182" s="24"/>
      <c r="B2182" s="24"/>
      <c r="C2182" s="24"/>
      <c r="D2182" s="7"/>
      <c r="E2182" s="7"/>
      <c r="F2182" s="22"/>
      <c r="G2182" s="22"/>
      <c r="H2182" s="24"/>
      <c r="I2182" s="24"/>
      <c r="K2182" s="8"/>
    </row>
    <row r="2183">
      <c r="A2183" s="24"/>
      <c r="B2183" s="24"/>
      <c r="C2183" s="24"/>
      <c r="D2183" s="7"/>
      <c r="E2183" s="7"/>
      <c r="F2183" s="22"/>
      <c r="G2183" s="22"/>
      <c r="H2183" s="24"/>
      <c r="I2183" s="24"/>
      <c r="K2183" s="8"/>
    </row>
    <row r="2184">
      <c r="A2184" s="24"/>
      <c r="B2184" s="24"/>
      <c r="C2184" s="24"/>
      <c r="D2184" s="7"/>
      <c r="E2184" s="7"/>
      <c r="F2184" s="22"/>
      <c r="G2184" s="22"/>
      <c r="H2184" s="24"/>
      <c r="I2184" s="24"/>
      <c r="K2184" s="8"/>
    </row>
    <row r="2185">
      <c r="A2185" s="24"/>
      <c r="B2185" s="24"/>
      <c r="C2185" s="24"/>
      <c r="D2185" s="7"/>
      <c r="E2185" s="7"/>
      <c r="F2185" s="22"/>
      <c r="G2185" s="22"/>
      <c r="H2185" s="24"/>
      <c r="I2185" s="24"/>
      <c r="K2185" s="8"/>
    </row>
    <row r="2186">
      <c r="A2186" s="24"/>
      <c r="B2186" s="24"/>
      <c r="C2186" s="24"/>
      <c r="D2186" s="7"/>
      <c r="E2186" s="7"/>
      <c r="F2186" s="22"/>
      <c r="G2186" s="22"/>
      <c r="H2186" s="24"/>
      <c r="I2186" s="24"/>
      <c r="K2186" s="8"/>
    </row>
    <row r="2187">
      <c r="A2187" s="24"/>
      <c r="B2187" s="24"/>
      <c r="C2187" s="24"/>
      <c r="D2187" s="7"/>
      <c r="E2187" s="7"/>
      <c r="F2187" s="22"/>
      <c r="G2187" s="22"/>
      <c r="H2187" s="24"/>
      <c r="I2187" s="24"/>
      <c r="K2187" s="8"/>
    </row>
    <row r="2188">
      <c r="A2188" s="24"/>
      <c r="B2188" s="24"/>
      <c r="C2188" s="24"/>
      <c r="D2188" s="7"/>
      <c r="E2188" s="7"/>
      <c r="F2188" s="22"/>
      <c r="G2188" s="22"/>
      <c r="H2188" s="24"/>
      <c r="I2188" s="24"/>
      <c r="K2188" s="8"/>
    </row>
    <row r="2189">
      <c r="A2189" s="24"/>
      <c r="B2189" s="24"/>
      <c r="C2189" s="24"/>
      <c r="D2189" s="7"/>
      <c r="E2189" s="7"/>
      <c r="F2189" s="22"/>
      <c r="G2189" s="22"/>
      <c r="H2189" s="24"/>
      <c r="I2189" s="24"/>
      <c r="K2189" s="8"/>
    </row>
    <row r="2190">
      <c r="A2190" s="24"/>
      <c r="B2190" s="24"/>
      <c r="C2190" s="24"/>
      <c r="D2190" s="7"/>
      <c r="E2190" s="7"/>
      <c r="F2190" s="22"/>
      <c r="G2190" s="22"/>
      <c r="H2190" s="24"/>
      <c r="I2190" s="24"/>
      <c r="K2190" s="8"/>
    </row>
    <row r="2191">
      <c r="A2191" s="24"/>
      <c r="B2191" s="24"/>
      <c r="C2191" s="24"/>
      <c r="D2191" s="7"/>
      <c r="E2191" s="7"/>
      <c r="F2191" s="22"/>
      <c r="G2191" s="22"/>
      <c r="H2191" s="24"/>
      <c r="I2191" s="24"/>
      <c r="K2191" s="8"/>
    </row>
    <row r="2192">
      <c r="A2192" s="24"/>
      <c r="B2192" s="24"/>
      <c r="C2192" s="24"/>
      <c r="D2192" s="7"/>
      <c r="E2192" s="7"/>
      <c r="F2192" s="22"/>
      <c r="G2192" s="22"/>
      <c r="H2192" s="24"/>
      <c r="I2192" s="24"/>
      <c r="K2192" s="8"/>
    </row>
    <row r="2193">
      <c r="A2193" s="24"/>
      <c r="B2193" s="24"/>
      <c r="C2193" s="24"/>
      <c r="D2193" s="7"/>
      <c r="E2193" s="7"/>
      <c r="F2193" s="22"/>
      <c r="G2193" s="22"/>
      <c r="H2193" s="24"/>
      <c r="I2193" s="24"/>
      <c r="K2193" s="8"/>
    </row>
    <row r="2194">
      <c r="A2194" s="24"/>
      <c r="B2194" s="24"/>
      <c r="C2194" s="24"/>
      <c r="D2194" s="7"/>
      <c r="E2194" s="7"/>
      <c r="F2194" s="22"/>
      <c r="G2194" s="22"/>
      <c r="H2194" s="24"/>
      <c r="I2194" s="24"/>
      <c r="K2194" s="8"/>
    </row>
    <row r="2195">
      <c r="A2195" s="24"/>
      <c r="B2195" s="24"/>
      <c r="C2195" s="24"/>
      <c r="D2195" s="7"/>
      <c r="E2195" s="7"/>
      <c r="F2195" s="22"/>
      <c r="G2195" s="22"/>
      <c r="H2195" s="24"/>
      <c r="I2195" s="24"/>
      <c r="K2195" s="8"/>
    </row>
    <row r="2196">
      <c r="A2196" s="24"/>
      <c r="B2196" s="24"/>
      <c r="C2196" s="24"/>
      <c r="D2196" s="7"/>
      <c r="E2196" s="7"/>
      <c r="F2196" s="22"/>
      <c r="G2196" s="22"/>
      <c r="H2196" s="24"/>
      <c r="I2196" s="24"/>
      <c r="K2196" s="8"/>
    </row>
    <row r="2197">
      <c r="A2197" s="24"/>
      <c r="B2197" s="24"/>
      <c r="C2197" s="24"/>
      <c r="D2197" s="7"/>
      <c r="E2197" s="7"/>
      <c r="F2197" s="22"/>
      <c r="G2197" s="22"/>
      <c r="H2197" s="24"/>
      <c r="I2197" s="24"/>
      <c r="K2197" s="8"/>
    </row>
    <row r="2198">
      <c r="A2198" s="24"/>
      <c r="B2198" s="24"/>
      <c r="C2198" s="24"/>
      <c r="D2198" s="7"/>
      <c r="E2198" s="7"/>
      <c r="F2198" s="22"/>
      <c r="G2198" s="22"/>
      <c r="H2198" s="24"/>
      <c r="I2198" s="24"/>
      <c r="K2198" s="8"/>
    </row>
    <row r="2199">
      <c r="A2199" s="24"/>
      <c r="B2199" s="24"/>
      <c r="C2199" s="24"/>
      <c r="D2199" s="7"/>
      <c r="E2199" s="7"/>
      <c r="F2199" s="22"/>
      <c r="G2199" s="22"/>
      <c r="H2199" s="24"/>
      <c r="I2199" s="24"/>
      <c r="K2199" s="8"/>
    </row>
    <row r="2200">
      <c r="A2200" s="24"/>
      <c r="B2200" s="24"/>
      <c r="C2200" s="24"/>
      <c r="D2200" s="7"/>
      <c r="E2200" s="7"/>
      <c r="F2200" s="22"/>
      <c r="G2200" s="22"/>
      <c r="H2200" s="24"/>
      <c r="I2200" s="24"/>
      <c r="K2200" s="8"/>
    </row>
    <row r="2201">
      <c r="A2201" s="24"/>
      <c r="B2201" s="24"/>
      <c r="C2201" s="24"/>
      <c r="D2201" s="7"/>
      <c r="E2201" s="7"/>
      <c r="F2201" s="22"/>
      <c r="G2201" s="22"/>
      <c r="H2201" s="24"/>
      <c r="I2201" s="24"/>
      <c r="K2201" s="8"/>
    </row>
    <row r="2202">
      <c r="A2202" s="24"/>
      <c r="B2202" s="24"/>
      <c r="C2202" s="24"/>
      <c r="D2202" s="7"/>
      <c r="E2202" s="7"/>
      <c r="F2202" s="22"/>
      <c r="G2202" s="22"/>
      <c r="H2202" s="24"/>
      <c r="I2202" s="24"/>
      <c r="K2202" s="8"/>
    </row>
    <row r="2203">
      <c r="A2203" s="24"/>
      <c r="B2203" s="24"/>
      <c r="C2203" s="24"/>
      <c r="D2203" s="7"/>
      <c r="E2203" s="7"/>
      <c r="F2203" s="22"/>
      <c r="G2203" s="22"/>
      <c r="H2203" s="24"/>
      <c r="I2203" s="24"/>
      <c r="K2203" s="8"/>
    </row>
    <row r="2204">
      <c r="A2204" s="24"/>
      <c r="B2204" s="24"/>
      <c r="C2204" s="24"/>
      <c r="D2204" s="7"/>
      <c r="E2204" s="7"/>
      <c r="F2204" s="22"/>
      <c r="G2204" s="22"/>
      <c r="H2204" s="24"/>
      <c r="I2204" s="24"/>
      <c r="K2204" s="8"/>
    </row>
    <row r="2205">
      <c r="A2205" s="24"/>
      <c r="B2205" s="24"/>
      <c r="C2205" s="24"/>
      <c r="D2205" s="7"/>
      <c r="E2205" s="7"/>
      <c r="F2205" s="22"/>
      <c r="G2205" s="22"/>
      <c r="H2205" s="24"/>
      <c r="I2205" s="24"/>
      <c r="K2205" s="8"/>
    </row>
    <row r="2206">
      <c r="A2206" s="24"/>
      <c r="B2206" s="24"/>
      <c r="C2206" s="24"/>
      <c r="D2206" s="7"/>
      <c r="E2206" s="7"/>
      <c r="F2206" s="22"/>
      <c r="G2206" s="22"/>
      <c r="H2206" s="24"/>
      <c r="I2206" s="24"/>
      <c r="K2206" s="8"/>
    </row>
    <row r="2207">
      <c r="A2207" s="24"/>
      <c r="B2207" s="24"/>
      <c r="C2207" s="24"/>
      <c r="D2207" s="7"/>
      <c r="E2207" s="7"/>
      <c r="F2207" s="22"/>
      <c r="G2207" s="22"/>
      <c r="H2207" s="24"/>
      <c r="I2207" s="24"/>
      <c r="K2207" s="8"/>
    </row>
    <row r="2208">
      <c r="A2208" s="24"/>
      <c r="B2208" s="24"/>
      <c r="C2208" s="24"/>
      <c r="D2208" s="7"/>
      <c r="E2208" s="7"/>
      <c r="F2208" s="22"/>
      <c r="G2208" s="22"/>
      <c r="H2208" s="24"/>
      <c r="I2208" s="24"/>
      <c r="K2208" s="8"/>
    </row>
    <row r="2209">
      <c r="A2209" s="24"/>
      <c r="B2209" s="24"/>
      <c r="C2209" s="24"/>
      <c r="D2209" s="7"/>
      <c r="E2209" s="7"/>
      <c r="F2209" s="22"/>
      <c r="G2209" s="22"/>
      <c r="H2209" s="24"/>
      <c r="I2209" s="24"/>
      <c r="K2209" s="8"/>
    </row>
    <row r="2210">
      <c r="A2210" s="24"/>
      <c r="B2210" s="24"/>
      <c r="C2210" s="24"/>
      <c r="D2210" s="7"/>
      <c r="E2210" s="7"/>
      <c r="F2210" s="22"/>
      <c r="G2210" s="22"/>
      <c r="H2210" s="24"/>
      <c r="I2210" s="24"/>
      <c r="K2210" s="8"/>
    </row>
    <row r="2211">
      <c r="A2211" s="24"/>
      <c r="B2211" s="24"/>
      <c r="C2211" s="24"/>
      <c r="D2211" s="7"/>
      <c r="E2211" s="7"/>
      <c r="F2211" s="22"/>
      <c r="G2211" s="22"/>
      <c r="H2211" s="24"/>
      <c r="I2211" s="24"/>
      <c r="K2211" s="8"/>
    </row>
    <row r="2212">
      <c r="A2212" s="24"/>
      <c r="B2212" s="24"/>
      <c r="C2212" s="24"/>
      <c r="D2212" s="7"/>
      <c r="E2212" s="7"/>
      <c r="F2212" s="22"/>
      <c r="G2212" s="22"/>
      <c r="H2212" s="24"/>
      <c r="I2212" s="24"/>
      <c r="K2212" s="8"/>
    </row>
    <row r="2213">
      <c r="A2213" s="24"/>
      <c r="B2213" s="24"/>
      <c r="C2213" s="24"/>
      <c r="D2213" s="7"/>
      <c r="E2213" s="7"/>
      <c r="F2213" s="22"/>
      <c r="G2213" s="22"/>
      <c r="H2213" s="24"/>
      <c r="I2213" s="24"/>
      <c r="K2213" s="8"/>
    </row>
    <row r="2214">
      <c r="A2214" s="24"/>
      <c r="B2214" s="24"/>
      <c r="C2214" s="24"/>
      <c r="D2214" s="7"/>
      <c r="E2214" s="7"/>
      <c r="F2214" s="22"/>
      <c r="G2214" s="22"/>
      <c r="H2214" s="24"/>
      <c r="I2214" s="24"/>
      <c r="K2214" s="8"/>
    </row>
    <row r="2215">
      <c r="A2215" s="24"/>
      <c r="B2215" s="24"/>
      <c r="C2215" s="24"/>
      <c r="D2215" s="7"/>
      <c r="E2215" s="7"/>
      <c r="F2215" s="22"/>
      <c r="G2215" s="22"/>
      <c r="H2215" s="24"/>
      <c r="I2215" s="24"/>
      <c r="K2215" s="8"/>
    </row>
    <row r="2216">
      <c r="A2216" s="24"/>
      <c r="B2216" s="24"/>
      <c r="C2216" s="24"/>
      <c r="D2216" s="7"/>
      <c r="E2216" s="7"/>
      <c r="F2216" s="22"/>
      <c r="G2216" s="22"/>
      <c r="H2216" s="24"/>
      <c r="I2216" s="24"/>
      <c r="K2216" s="8"/>
    </row>
    <row r="2217">
      <c r="A2217" s="24"/>
      <c r="B2217" s="24"/>
      <c r="C2217" s="24"/>
      <c r="D2217" s="7"/>
      <c r="E2217" s="7"/>
      <c r="F2217" s="22"/>
      <c r="G2217" s="22"/>
      <c r="H2217" s="24"/>
      <c r="I2217" s="24"/>
      <c r="K2217" s="8"/>
    </row>
    <row r="2218">
      <c r="A2218" s="24"/>
      <c r="B2218" s="24"/>
      <c r="C2218" s="24"/>
      <c r="D2218" s="7"/>
      <c r="E2218" s="7"/>
      <c r="F2218" s="22"/>
      <c r="G2218" s="22"/>
      <c r="H2218" s="24"/>
      <c r="I2218" s="24"/>
      <c r="K2218" s="8"/>
    </row>
    <row r="2219">
      <c r="A2219" s="24"/>
      <c r="B2219" s="24"/>
      <c r="C2219" s="24"/>
      <c r="D2219" s="7"/>
      <c r="E2219" s="7"/>
      <c r="F2219" s="22"/>
      <c r="G2219" s="22"/>
      <c r="H2219" s="24"/>
      <c r="I2219" s="24"/>
      <c r="K2219" s="8"/>
    </row>
    <row r="2220">
      <c r="A2220" s="24"/>
      <c r="B2220" s="24"/>
      <c r="C2220" s="24"/>
      <c r="D2220" s="7"/>
      <c r="E2220" s="7"/>
      <c r="F2220" s="22"/>
      <c r="G2220" s="22"/>
      <c r="H2220" s="24"/>
      <c r="I2220" s="24"/>
      <c r="K2220" s="8"/>
    </row>
    <row r="2221">
      <c r="A2221" s="24"/>
      <c r="B2221" s="24"/>
      <c r="C2221" s="24"/>
      <c r="D2221" s="7"/>
      <c r="E2221" s="7"/>
      <c r="F2221" s="22"/>
      <c r="G2221" s="22"/>
      <c r="H2221" s="24"/>
      <c r="I2221" s="24"/>
      <c r="K2221" s="8"/>
    </row>
    <row r="2222">
      <c r="A2222" s="24"/>
      <c r="B2222" s="24"/>
      <c r="C2222" s="24"/>
      <c r="D2222" s="7"/>
      <c r="E2222" s="7"/>
      <c r="F2222" s="22"/>
      <c r="G2222" s="22"/>
      <c r="H2222" s="24"/>
      <c r="I2222" s="24"/>
      <c r="K2222" s="8"/>
    </row>
    <row r="2223">
      <c r="A2223" s="24"/>
      <c r="B2223" s="24"/>
      <c r="C2223" s="24"/>
      <c r="D2223" s="7"/>
      <c r="E2223" s="7"/>
      <c r="F2223" s="22"/>
      <c r="G2223" s="22"/>
      <c r="H2223" s="24"/>
      <c r="I2223" s="24"/>
      <c r="K2223" s="8"/>
    </row>
    <row r="2224">
      <c r="A2224" s="24"/>
      <c r="B2224" s="24"/>
      <c r="C2224" s="24"/>
      <c r="D2224" s="7"/>
      <c r="E2224" s="7"/>
      <c r="F2224" s="22"/>
      <c r="G2224" s="22"/>
      <c r="H2224" s="24"/>
      <c r="I2224" s="24"/>
      <c r="K2224" s="8"/>
    </row>
    <row r="2225">
      <c r="A2225" s="24"/>
      <c r="B2225" s="24"/>
      <c r="C2225" s="24"/>
      <c r="D2225" s="7"/>
      <c r="E2225" s="7"/>
      <c r="F2225" s="22"/>
      <c r="G2225" s="22"/>
      <c r="H2225" s="24"/>
      <c r="I2225" s="24"/>
      <c r="K2225" s="8"/>
    </row>
    <row r="2226">
      <c r="A2226" s="24"/>
      <c r="B2226" s="24"/>
      <c r="C2226" s="24"/>
      <c r="D2226" s="7"/>
      <c r="E2226" s="7"/>
      <c r="F2226" s="22"/>
      <c r="G2226" s="22"/>
      <c r="H2226" s="24"/>
      <c r="I2226" s="24"/>
      <c r="K2226" s="8"/>
    </row>
    <row r="2227">
      <c r="A2227" s="24"/>
      <c r="B2227" s="24"/>
      <c r="C2227" s="24"/>
      <c r="D2227" s="7"/>
      <c r="E2227" s="7"/>
      <c r="F2227" s="22"/>
      <c r="G2227" s="22"/>
      <c r="H2227" s="24"/>
      <c r="I2227" s="24"/>
      <c r="K2227" s="8"/>
    </row>
    <row r="2228">
      <c r="A2228" s="24"/>
      <c r="B2228" s="24"/>
      <c r="C2228" s="24"/>
      <c r="D2228" s="7"/>
      <c r="E2228" s="7"/>
      <c r="F2228" s="22"/>
      <c r="G2228" s="22"/>
      <c r="H2228" s="24"/>
      <c r="I2228" s="24"/>
      <c r="K2228" s="8"/>
    </row>
    <row r="2229">
      <c r="A2229" s="24"/>
      <c r="B2229" s="24"/>
      <c r="C2229" s="24"/>
      <c r="D2229" s="7"/>
      <c r="E2229" s="7"/>
      <c r="F2229" s="22"/>
      <c r="G2229" s="22"/>
      <c r="H2229" s="24"/>
      <c r="I2229" s="24"/>
      <c r="K2229" s="8"/>
    </row>
    <row r="2230">
      <c r="A2230" s="24"/>
      <c r="B2230" s="24"/>
      <c r="C2230" s="24"/>
      <c r="D2230" s="7"/>
      <c r="E2230" s="7"/>
      <c r="F2230" s="22"/>
      <c r="G2230" s="22"/>
      <c r="H2230" s="24"/>
      <c r="I2230" s="24"/>
      <c r="K2230" s="8"/>
    </row>
    <row r="2231">
      <c r="A2231" s="24"/>
      <c r="B2231" s="24"/>
      <c r="C2231" s="24"/>
      <c r="D2231" s="7"/>
      <c r="E2231" s="7"/>
      <c r="F2231" s="22"/>
      <c r="G2231" s="22"/>
      <c r="H2231" s="24"/>
      <c r="I2231" s="24"/>
      <c r="K2231" s="8"/>
    </row>
    <row r="2232">
      <c r="A2232" s="24"/>
      <c r="B2232" s="24"/>
      <c r="C2232" s="24"/>
      <c r="D2232" s="7"/>
      <c r="E2232" s="7"/>
      <c r="F2232" s="22"/>
      <c r="G2232" s="22"/>
      <c r="H2232" s="24"/>
      <c r="I2232" s="24"/>
      <c r="K2232" s="8"/>
    </row>
    <row r="2233">
      <c r="A2233" s="24"/>
      <c r="B2233" s="24"/>
      <c r="C2233" s="24"/>
      <c r="D2233" s="7"/>
      <c r="E2233" s="7"/>
      <c r="F2233" s="22"/>
      <c r="G2233" s="22"/>
      <c r="H2233" s="24"/>
      <c r="I2233" s="24"/>
      <c r="K2233" s="8"/>
    </row>
    <row r="2234">
      <c r="A2234" s="24"/>
      <c r="B2234" s="24"/>
      <c r="C2234" s="24"/>
      <c r="D2234" s="7"/>
      <c r="E2234" s="7"/>
      <c r="F2234" s="22"/>
      <c r="G2234" s="22"/>
      <c r="H2234" s="24"/>
      <c r="I2234" s="24"/>
      <c r="K2234" s="8"/>
    </row>
    <row r="2235">
      <c r="A2235" s="24"/>
      <c r="B2235" s="24"/>
      <c r="C2235" s="24"/>
      <c r="D2235" s="7"/>
      <c r="E2235" s="7"/>
      <c r="F2235" s="22"/>
      <c r="G2235" s="22"/>
      <c r="H2235" s="24"/>
      <c r="I2235" s="24"/>
      <c r="K2235" s="8"/>
    </row>
    <row r="2236">
      <c r="A2236" s="24"/>
      <c r="B2236" s="24"/>
      <c r="C2236" s="24"/>
      <c r="D2236" s="7"/>
      <c r="E2236" s="7"/>
      <c r="F2236" s="22"/>
      <c r="G2236" s="22"/>
      <c r="H2236" s="24"/>
      <c r="I2236" s="24"/>
      <c r="K2236" s="8"/>
    </row>
    <row r="2237">
      <c r="A2237" s="24"/>
      <c r="B2237" s="24"/>
      <c r="C2237" s="24"/>
      <c r="D2237" s="7"/>
      <c r="E2237" s="7"/>
      <c r="F2237" s="22"/>
      <c r="G2237" s="22"/>
      <c r="H2237" s="24"/>
      <c r="I2237" s="24"/>
      <c r="K2237" s="8"/>
    </row>
    <row r="2238">
      <c r="A2238" s="24"/>
      <c r="B2238" s="24"/>
      <c r="C2238" s="24"/>
      <c r="D2238" s="7"/>
      <c r="E2238" s="7"/>
      <c r="F2238" s="22"/>
      <c r="G2238" s="22"/>
      <c r="H2238" s="24"/>
      <c r="I2238" s="24"/>
      <c r="K2238" s="8"/>
    </row>
    <row r="2239">
      <c r="A2239" s="24"/>
      <c r="B2239" s="24"/>
      <c r="C2239" s="24"/>
      <c r="D2239" s="7"/>
      <c r="E2239" s="7"/>
      <c r="F2239" s="22"/>
      <c r="G2239" s="22"/>
      <c r="H2239" s="24"/>
      <c r="I2239" s="24"/>
      <c r="K2239" s="8"/>
    </row>
    <row r="2240">
      <c r="A2240" s="24"/>
      <c r="B2240" s="24"/>
      <c r="C2240" s="24"/>
      <c r="D2240" s="7"/>
      <c r="E2240" s="7"/>
      <c r="F2240" s="22"/>
      <c r="G2240" s="22"/>
      <c r="H2240" s="24"/>
      <c r="I2240" s="24"/>
      <c r="K2240" s="8"/>
    </row>
    <row r="2241">
      <c r="A2241" s="24"/>
      <c r="B2241" s="24"/>
      <c r="C2241" s="24"/>
      <c r="D2241" s="7"/>
      <c r="E2241" s="7"/>
      <c r="F2241" s="22"/>
      <c r="G2241" s="22"/>
      <c r="H2241" s="24"/>
      <c r="I2241" s="24"/>
      <c r="K2241" s="8"/>
    </row>
    <row r="2242">
      <c r="A2242" s="24"/>
      <c r="B2242" s="24"/>
      <c r="C2242" s="24"/>
      <c r="D2242" s="7"/>
      <c r="E2242" s="7"/>
      <c r="F2242" s="22"/>
      <c r="G2242" s="22"/>
      <c r="H2242" s="24"/>
      <c r="I2242" s="24"/>
      <c r="K2242" s="8"/>
    </row>
    <row r="2243">
      <c r="A2243" s="24"/>
      <c r="B2243" s="24"/>
      <c r="C2243" s="24"/>
      <c r="D2243" s="7"/>
      <c r="E2243" s="7"/>
      <c r="F2243" s="22"/>
      <c r="G2243" s="22"/>
      <c r="H2243" s="24"/>
      <c r="I2243" s="24"/>
      <c r="K2243" s="8"/>
    </row>
    <row r="2244">
      <c r="A2244" s="24"/>
      <c r="B2244" s="24"/>
      <c r="C2244" s="24"/>
      <c r="D2244" s="7"/>
      <c r="E2244" s="7"/>
      <c r="F2244" s="22"/>
      <c r="G2244" s="22"/>
      <c r="H2244" s="24"/>
      <c r="I2244" s="24"/>
      <c r="K2244" s="8"/>
    </row>
    <row r="2245">
      <c r="A2245" s="24"/>
      <c r="B2245" s="24"/>
      <c r="C2245" s="24"/>
      <c r="D2245" s="7"/>
      <c r="E2245" s="7"/>
      <c r="F2245" s="22"/>
      <c r="G2245" s="22"/>
      <c r="H2245" s="24"/>
      <c r="I2245" s="24"/>
      <c r="K2245" s="8"/>
    </row>
    <row r="2246">
      <c r="A2246" s="24"/>
      <c r="B2246" s="24"/>
      <c r="C2246" s="24"/>
      <c r="D2246" s="7"/>
      <c r="E2246" s="7"/>
      <c r="F2246" s="22"/>
      <c r="G2246" s="22"/>
      <c r="H2246" s="24"/>
      <c r="I2246" s="24"/>
      <c r="K2246" s="8"/>
    </row>
    <row r="2247">
      <c r="A2247" s="24"/>
      <c r="B2247" s="24"/>
      <c r="C2247" s="24"/>
      <c r="D2247" s="7"/>
      <c r="E2247" s="7"/>
      <c r="F2247" s="22"/>
      <c r="G2247" s="22"/>
      <c r="H2247" s="24"/>
      <c r="I2247" s="24"/>
      <c r="K2247" s="8"/>
    </row>
    <row r="2248">
      <c r="A2248" s="24"/>
      <c r="B2248" s="24"/>
      <c r="C2248" s="24"/>
      <c r="D2248" s="7"/>
      <c r="E2248" s="7"/>
      <c r="F2248" s="22"/>
      <c r="G2248" s="22"/>
      <c r="H2248" s="24"/>
      <c r="I2248" s="24"/>
      <c r="K2248" s="8"/>
    </row>
    <row r="2249">
      <c r="A2249" s="24"/>
      <c r="B2249" s="24"/>
      <c r="C2249" s="24"/>
      <c r="D2249" s="7"/>
      <c r="E2249" s="7"/>
      <c r="F2249" s="22"/>
      <c r="G2249" s="22"/>
      <c r="H2249" s="24"/>
      <c r="I2249" s="24"/>
      <c r="K2249" s="8"/>
    </row>
    <row r="2250">
      <c r="A2250" s="24"/>
      <c r="B2250" s="24"/>
      <c r="C2250" s="24"/>
      <c r="D2250" s="7"/>
      <c r="E2250" s="7"/>
      <c r="F2250" s="22"/>
      <c r="G2250" s="22"/>
      <c r="H2250" s="24"/>
      <c r="I2250" s="24"/>
      <c r="K2250" s="8"/>
    </row>
    <row r="2251">
      <c r="A2251" s="24"/>
      <c r="B2251" s="24"/>
      <c r="C2251" s="24"/>
      <c r="D2251" s="7"/>
      <c r="E2251" s="7"/>
      <c r="F2251" s="22"/>
      <c r="G2251" s="22"/>
      <c r="H2251" s="24"/>
      <c r="I2251" s="24"/>
      <c r="K2251" s="8"/>
    </row>
    <row r="2252">
      <c r="A2252" s="24"/>
      <c r="B2252" s="24"/>
      <c r="C2252" s="24"/>
      <c r="D2252" s="7"/>
      <c r="E2252" s="7"/>
      <c r="F2252" s="22"/>
      <c r="G2252" s="22"/>
      <c r="H2252" s="24"/>
      <c r="I2252" s="24"/>
      <c r="K2252" s="8"/>
    </row>
    <row r="2253">
      <c r="A2253" s="24"/>
      <c r="B2253" s="24"/>
      <c r="C2253" s="24"/>
      <c r="D2253" s="7"/>
      <c r="E2253" s="7"/>
      <c r="F2253" s="22"/>
      <c r="G2253" s="22"/>
      <c r="H2253" s="24"/>
      <c r="I2253" s="24"/>
      <c r="K2253" s="8"/>
    </row>
    <row r="2254">
      <c r="A2254" s="24"/>
      <c r="B2254" s="24"/>
      <c r="C2254" s="24"/>
      <c r="D2254" s="7"/>
      <c r="E2254" s="7"/>
      <c r="F2254" s="22"/>
      <c r="G2254" s="22"/>
      <c r="H2254" s="24"/>
      <c r="I2254" s="24"/>
      <c r="K2254" s="8"/>
    </row>
    <row r="2255">
      <c r="A2255" s="24"/>
      <c r="B2255" s="24"/>
      <c r="C2255" s="24"/>
      <c r="D2255" s="7"/>
      <c r="E2255" s="7"/>
      <c r="F2255" s="22"/>
      <c r="G2255" s="22"/>
      <c r="H2255" s="24"/>
      <c r="I2255" s="24"/>
      <c r="K2255" s="8"/>
    </row>
    <row r="2256">
      <c r="A2256" s="24"/>
      <c r="B2256" s="24"/>
      <c r="C2256" s="24"/>
      <c r="D2256" s="7"/>
      <c r="E2256" s="7"/>
      <c r="F2256" s="22"/>
      <c r="G2256" s="22"/>
      <c r="H2256" s="24"/>
      <c r="I2256" s="24"/>
      <c r="K2256" s="8"/>
    </row>
    <row r="2257">
      <c r="A2257" s="24"/>
      <c r="B2257" s="24"/>
      <c r="C2257" s="24"/>
      <c r="D2257" s="7"/>
      <c r="E2257" s="7"/>
      <c r="F2257" s="22"/>
      <c r="G2257" s="22"/>
      <c r="H2257" s="24"/>
      <c r="I2257" s="24"/>
      <c r="K2257" s="8"/>
    </row>
    <row r="2258">
      <c r="A2258" s="24"/>
      <c r="B2258" s="24"/>
      <c r="C2258" s="24"/>
      <c r="D2258" s="7"/>
      <c r="E2258" s="7"/>
      <c r="F2258" s="22"/>
      <c r="G2258" s="22"/>
      <c r="H2258" s="24"/>
      <c r="I2258" s="24"/>
      <c r="K2258" s="8"/>
    </row>
    <row r="2259">
      <c r="A2259" s="24"/>
      <c r="B2259" s="24"/>
      <c r="C2259" s="24"/>
      <c r="D2259" s="7"/>
      <c r="E2259" s="7"/>
      <c r="F2259" s="22"/>
      <c r="G2259" s="22"/>
      <c r="H2259" s="24"/>
      <c r="I2259" s="24"/>
      <c r="K2259" s="8"/>
    </row>
    <row r="2260">
      <c r="A2260" s="24"/>
      <c r="B2260" s="24"/>
      <c r="C2260" s="24"/>
      <c r="D2260" s="7"/>
      <c r="E2260" s="7"/>
      <c r="F2260" s="22"/>
      <c r="G2260" s="22"/>
      <c r="H2260" s="24"/>
      <c r="I2260" s="24"/>
      <c r="K2260" s="8"/>
    </row>
    <row r="2261">
      <c r="A2261" s="24"/>
      <c r="B2261" s="24"/>
      <c r="C2261" s="24"/>
      <c r="D2261" s="7"/>
      <c r="E2261" s="7"/>
      <c r="F2261" s="22"/>
      <c r="G2261" s="22"/>
      <c r="H2261" s="24"/>
      <c r="I2261" s="24"/>
      <c r="K2261" s="8"/>
    </row>
    <row r="2262">
      <c r="A2262" s="24"/>
      <c r="B2262" s="24"/>
      <c r="C2262" s="24"/>
      <c r="D2262" s="7"/>
      <c r="E2262" s="7"/>
      <c r="F2262" s="22"/>
      <c r="G2262" s="22"/>
      <c r="H2262" s="24"/>
      <c r="I2262" s="24"/>
      <c r="K2262" s="8"/>
    </row>
    <row r="2263">
      <c r="A2263" s="24"/>
      <c r="B2263" s="24"/>
      <c r="C2263" s="24"/>
      <c r="D2263" s="7"/>
      <c r="E2263" s="7"/>
      <c r="F2263" s="22"/>
      <c r="G2263" s="22"/>
      <c r="H2263" s="24"/>
      <c r="I2263" s="24"/>
      <c r="K2263" s="8"/>
    </row>
    <row r="2264">
      <c r="A2264" s="24"/>
      <c r="B2264" s="24"/>
      <c r="C2264" s="24"/>
      <c r="D2264" s="7"/>
      <c r="E2264" s="7"/>
      <c r="F2264" s="22"/>
      <c r="G2264" s="22"/>
      <c r="H2264" s="24"/>
      <c r="I2264" s="24"/>
      <c r="K2264" s="8"/>
    </row>
    <row r="2265">
      <c r="A2265" s="24"/>
      <c r="B2265" s="24"/>
      <c r="C2265" s="24"/>
      <c r="D2265" s="7"/>
      <c r="E2265" s="7"/>
      <c r="F2265" s="22"/>
      <c r="G2265" s="22"/>
      <c r="H2265" s="24"/>
      <c r="I2265" s="24"/>
      <c r="K2265" s="8"/>
    </row>
    <row r="2266">
      <c r="A2266" s="24"/>
      <c r="B2266" s="24"/>
      <c r="C2266" s="24"/>
      <c r="D2266" s="7"/>
      <c r="E2266" s="7"/>
      <c r="F2266" s="22"/>
      <c r="G2266" s="22"/>
      <c r="H2266" s="24"/>
      <c r="I2266" s="24"/>
      <c r="K2266" s="8"/>
    </row>
    <row r="2267">
      <c r="A2267" s="24"/>
      <c r="B2267" s="24"/>
      <c r="C2267" s="24"/>
      <c r="D2267" s="7"/>
      <c r="E2267" s="7"/>
      <c r="F2267" s="22"/>
      <c r="G2267" s="22"/>
      <c r="H2267" s="24"/>
      <c r="I2267" s="24"/>
      <c r="K2267" s="8"/>
    </row>
    <row r="2268">
      <c r="A2268" s="24"/>
      <c r="B2268" s="24"/>
      <c r="C2268" s="24"/>
      <c r="D2268" s="7"/>
      <c r="E2268" s="7"/>
      <c r="F2268" s="22"/>
      <c r="G2268" s="22"/>
      <c r="H2268" s="24"/>
      <c r="I2268" s="24"/>
      <c r="K2268" s="8"/>
    </row>
    <row r="2269">
      <c r="A2269" s="24"/>
      <c r="B2269" s="24"/>
      <c r="C2269" s="24"/>
      <c r="D2269" s="7"/>
      <c r="E2269" s="7"/>
      <c r="F2269" s="22"/>
      <c r="G2269" s="22"/>
      <c r="H2269" s="24"/>
      <c r="I2269" s="24"/>
      <c r="K2269" s="8"/>
    </row>
    <row r="2270">
      <c r="A2270" s="24"/>
      <c r="B2270" s="24"/>
      <c r="C2270" s="24"/>
      <c r="D2270" s="7"/>
      <c r="E2270" s="7"/>
      <c r="F2270" s="22"/>
      <c r="G2270" s="22"/>
      <c r="H2270" s="24"/>
      <c r="I2270" s="24"/>
      <c r="K2270" s="8"/>
    </row>
    <row r="2271">
      <c r="A2271" s="24"/>
      <c r="B2271" s="24"/>
      <c r="C2271" s="24"/>
      <c r="D2271" s="7"/>
      <c r="E2271" s="7"/>
      <c r="F2271" s="22"/>
      <c r="G2271" s="22"/>
      <c r="H2271" s="24"/>
      <c r="I2271" s="24"/>
      <c r="K2271" s="8"/>
    </row>
    <row r="2272">
      <c r="A2272" s="24"/>
      <c r="B2272" s="24"/>
      <c r="C2272" s="24"/>
      <c r="D2272" s="7"/>
      <c r="E2272" s="7"/>
      <c r="F2272" s="22"/>
      <c r="G2272" s="22"/>
      <c r="H2272" s="24"/>
      <c r="I2272" s="24"/>
      <c r="K2272" s="8"/>
    </row>
    <row r="2273">
      <c r="A2273" s="24"/>
      <c r="B2273" s="24"/>
      <c r="C2273" s="24"/>
      <c r="D2273" s="7"/>
      <c r="E2273" s="7"/>
      <c r="F2273" s="22"/>
      <c r="G2273" s="22"/>
      <c r="H2273" s="24"/>
      <c r="I2273" s="24"/>
      <c r="K2273" s="8"/>
    </row>
    <row r="2274">
      <c r="A2274" s="24"/>
      <c r="B2274" s="24"/>
      <c r="C2274" s="24"/>
      <c r="D2274" s="7"/>
      <c r="E2274" s="7"/>
      <c r="F2274" s="22"/>
      <c r="G2274" s="22"/>
      <c r="H2274" s="24"/>
      <c r="I2274" s="24"/>
      <c r="K2274" s="8"/>
    </row>
    <row r="2275">
      <c r="A2275" s="24"/>
      <c r="B2275" s="24"/>
      <c r="C2275" s="24"/>
      <c r="D2275" s="7"/>
      <c r="E2275" s="7"/>
      <c r="F2275" s="22"/>
      <c r="G2275" s="22"/>
      <c r="H2275" s="24"/>
      <c r="I2275" s="24"/>
      <c r="K2275" s="8"/>
    </row>
    <row r="2276">
      <c r="A2276" s="24"/>
      <c r="B2276" s="24"/>
      <c r="C2276" s="24"/>
      <c r="D2276" s="7"/>
      <c r="E2276" s="7"/>
      <c r="F2276" s="22"/>
      <c r="G2276" s="22"/>
      <c r="H2276" s="24"/>
      <c r="I2276" s="24"/>
      <c r="K2276" s="8"/>
    </row>
    <row r="2277">
      <c r="A2277" s="24"/>
      <c r="B2277" s="24"/>
      <c r="C2277" s="24"/>
      <c r="D2277" s="7"/>
      <c r="E2277" s="7"/>
      <c r="F2277" s="22"/>
      <c r="G2277" s="22"/>
      <c r="H2277" s="24"/>
      <c r="I2277" s="24"/>
      <c r="K2277" s="8"/>
    </row>
    <row r="2278">
      <c r="A2278" s="24"/>
      <c r="B2278" s="24"/>
      <c r="C2278" s="24"/>
      <c r="D2278" s="7"/>
      <c r="E2278" s="7"/>
      <c r="F2278" s="22"/>
      <c r="G2278" s="22"/>
      <c r="H2278" s="24"/>
      <c r="I2278" s="24"/>
      <c r="K2278" s="8"/>
    </row>
    <row r="2279">
      <c r="A2279" s="24"/>
      <c r="B2279" s="24"/>
      <c r="C2279" s="24"/>
      <c r="D2279" s="7"/>
      <c r="E2279" s="7"/>
      <c r="F2279" s="22"/>
      <c r="G2279" s="22"/>
      <c r="H2279" s="24"/>
      <c r="I2279" s="24"/>
      <c r="K2279" s="8"/>
    </row>
    <row r="2280">
      <c r="A2280" s="24"/>
      <c r="B2280" s="24"/>
      <c r="C2280" s="24"/>
      <c r="D2280" s="7"/>
      <c r="E2280" s="7"/>
      <c r="F2280" s="22"/>
      <c r="G2280" s="22"/>
      <c r="H2280" s="24"/>
      <c r="I2280" s="24"/>
      <c r="K2280" s="8"/>
    </row>
    <row r="2281">
      <c r="A2281" s="24"/>
      <c r="B2281" s="24"/>
      <c r="C2281" s="24"/>
      <c r="D2281" s="7"/>
      <c r="E2281" s="7"/>
      <c r="F2281" s="22"/>
      <c r="G2281" s="22"/>
      <c r="H2281" s="24"/>
      <c r="I2281" s="24"/>
      <c r="K2281" s="8"/>
    </row>
    <row r="2282">
      <c r="A2282" s="24"/>
      <c r="B2282" s="24"/>
      <c r="C2282" s="24"/>
      <c r="D2282" s="7"/>
      <c r="E2282" s="7"/>
      <c r="F2282" s="22"/>
      <c r="G2282" s="22"/>
      <c r="H2282" s="24"/>
      <c r="I2282" s="24"/>
      <c r="K2282" s="8"/>
    </row>
    <row r="2283">
      <c r="A2283" s="24"/>
      <c r="B2283" s="24"/>
      <c r="C2283" s="24"/>
      <c r="D2283" s="7"/>
      <c r="E2283" s="7"/>
      <c r="F2283" s="22"/>
      <c r="G2283" s="22"/>
      <c r="H2283" s="24"/>
      <c r="I2283" s="24"/>
      <c r="K2283" s="8"/>
    </row>
    <row r="2284">
      <c r="A2284" s="24"/>
      <c r="B2284" s="24"/>
      <c r="C2284" s="24"/>
      <c r="D2284" s="7"/>
      <c r="E2284" s="7"/>
      <c r="F2284" s="22"/>
      <c r="G2284" s="22"/>
      <c r="H2284" s="24"/>
      <c r="I2284" s="24"/>
      <c r="K2284" s="8"/>
    </row>
    <row r="2285">
      <c r="A2285" s="24"/>
      <c r="B2285" s="24"/>
      <c r="C2285" s="24"/>
      <c r="D2285" s="7"/>
      <c r="E2285" s="7"/>
      <c r="F2285" s="22"/>
      <c r="G2285" s="22"/>
      <c r="H2285" s="24"/>
      <c r="I2285" s="24"/>
      <c r="K2285" s="8"/>
    </row>
    <row r="2286">
      <c r="A2286" s="24"/>
      <c r="B2286" s="24"/>
      <c r="C2286" s="24"/>
      <c r="D2286" s="7"/>
      <c r="E2286" s="7"/>
      <c r="F2286" s="22"/>
      <c r="G2286" s="22"/>
      <c r="H2286" s="24"/>
      <c r="I2286" s="24"/>
      <c r="K2286" s="8"/>
    </row>
    <row r="2287">
      <c r="A2287" s="24"/>
      <c r="B2287" s="24"/>
      <c r="C2287" s="24"/>
      <c r="D2287" s="7"/>
      <c r="E2287" s="7"/>
      <c r="F2287" s="22"/>
      <c r="G2287" s="22"/>
      <c r="H2287" s="24"/>
      <c r="I2287" s="24"/>
      <c r="K2287" s="8"/>
    </row>
    <row r="2288">
      <c r="A2288" s="24"/>
      <c r="B2288" s="24"/>
      <c r="C2288" s="24"/>
      <c r="D2288" s="7"/>
      <c r="E2288" s="7"/>
      <c r="F2288" s="22"/>
      <c r="G2288" s="22"/>
      <c r="H2288" s="24"/>
      <c r="I2288" s="24"/>
      <c r="K2288" s="8"/>
    </row>
    <row r="2289">
      <c r="A2289" s="24"/>
      <c r="B2289" s="24"/>
      <c r="C2289" s="24"/>
      <c r="D2289" s="7"/>
      <c r="E2289" s="7"/>
      <c r="F2289" s="22"/>
      <c r="G2289" s="22"/>
      <c r="H2289" s="24"/>
      <c r="I2289" s="24"/>
      <c r="K2289" s="8"/>
    </row>
    <row r="2290">
      <c r="A2290" s="24"/>
      <c r="B2290" s="24"/>
      <c r="C2290" s="24"/>
      <c r="D2290" s="7"/>
      <c r="E2290" s="7"/>
      <c r="F2290" s="22"/>
      <c r="G2290" s="22"/>
      <c r="H2290" s="24"/>
      <c r="I2290" s="24"/>
      <c r="K2290" s="8"/>
    </row>
    <row r="2291">
      <c r="A2291" s="24"/>
      <c r="B2291" s="24"/>
      <c r="C2291" s="24"/>
      <c r="D2291" s="7"/>
      <c r="E2291" s="7"/>
      <c r="F2291" s="22"/>
      <c r="G2291" s="22"/>
      <c r="H2291" s="24"/>
      <c r="I2291" s="24"/>
      <c r="K2291" s="8"/>
    </row>
    <row r="2292">
      <c r="A2292" s="24"/>
      <c r="B2292" s="24"/>
      <c r="C2292" s="24"/>
      <c r="D2292" s="7"/>
      <c r="E2292" s="7"/>
      <c r="F2292" s="22"/>
      <c r="G2292" s="22"/>
      <c r="H2292" s="24"/>
      <c r="I2292" s="24"/>
      <c r="K2292" s="8"/>
    </row>
    <row r="2293">
      <c r="A2293" s="24"/>
      <c r="B2293" s="24"/>
      <c r="C2293" s="24"/>
      <c r="D2293" s="7"/>
      <c r="E2293" s="7"/>
      <c r="F2293" s="22"/>
      <c r="G2293" s="22"/>
      <c r="H2293" s="24"/>
      <c r="I2293" s="24"/>
      <c r="K2293" s="8"/>
    </row>
    <row r="2294">
      <c r="A2294" s="24"/>
      <c r="B2294" s="24"/>
      <c r="C2294" s="24"/>
      <c r="D2294" s="7"/>
      <c r="E2294" s="7"/>
      <c r="F2294" s="22"/>
      <c r="G2294" s="22"/>
      <c r="H2294" s="24"/>
      <c r="I2294" s="24"/>
      <c r="K2294" s="8"/>
    </row>
    <row r="2295">
      <c r="A2295" s="24"/>
      <c r="B2295" s="24"/>
      <c r="C2295" s="24"/>
      <c r="D2295" s="7"/>
      <c r="E2295" s="7"/>
      <c r="F2295" s="22"/>
      <c r="G2295" s="22"/>
      <c r="H2295" s="24"/>
      <c r="I2295" s="24"/>
      <c r="K2295" s="8"/>
    </row>
    <row r="2296">
      <c r="A2296" s="24"/>
      <c r="B2296" s="24"/>
      <c r="C2296" s="24"/>
      <c r="D2296" s="7"/>
      <c r="E2296" s="7"/>
      <c r="F2296" s="22"/>
      <c r="G2296" s="22"/>
      <c r="H2296" s="24"/>
      <c r="I2296" s="24"/>
      <c r="K2296" s="8"/>
    </row>
    <row r="2297">
      <c r="A2297" s="24"/>
      <c r="B2297" s="24"/>
      <c r="C2297" s="24"/>
      <c r="D2297" s="7"/>
      <c r="E2297" s="7"/>
      <c r="F2297" s="22"/>
      <c r="G2297" s="22"/>
      <c r="H2297" s="24"/>
      <c r="I2297" s="24"/>
      <c r="K2297" s="8"/>
    </row>
    <row r="2298">
      <c r="A2298" s="24"/>
      <c r="B2298" s="24"/>
      <c r="C2298" s="24"/>
      <c r="D2298" s="7"/>
      <c r="E2298" s="7"/>
      <c r="F2298" s="22"/>
      <c r="G2298" s="22"/>
      <c r="H2298" s="24"/>
      <c r="I2298" s="24"/>
      <c r="K2298" s="8"/>
    </row>
    <row r="2299">
      <c r="A2299" s="24"/>
      <c r="B2299" s="24"/>
      <c r="C2299" s="24"/>
      <c r="D2299" s="7"/>
      <c r="E2299" s="7"/>
      <c r="F2299" s="22"/>
      <c r="G2299" s="22"/>
      <c r="H2299" s="24"/>
      <c r="I2299" s="24"/>
      <c r="K2299" s="8"/>
    </row>
    <row r="2300">
      <c r="A2300" s="24"/>
      <c r="B2300" s="24"/>
      <c r="C2300" s="24"/>
      <c r="D2300" s="7"/>
      <c r="E2300" s="7"/>
      <c r="F2300" s="22"/>
      <c r="G2300" s="22"/>
      <c r="H2300" s="24"/>
      <c r="I2300" s="24"/>
      <c r="K2300" s="8"/>
    </row>
    <row r="2301">
      <c r="A2301" s="24"/>
      <c r="B2301" s="24"/>
      <c r="C2301" s="24"/>
      <c r="D2301" s="7"/>
      <c r="E2301" s="7"/>
      <c r="F2301" s="22"/>
      <c r="G2301" s="22"/>
      <c r="H2301" s="24"/>
      <c r="I2301" s="24"/>
      <c r="K2301" s="8"/>
    </row>
    <row r="2302">
      <c r="A2302" s="24"/>
      <c r="B2302" s="24"/>
      <c r="C2302" s="24"/>
      <c r="D2302" s="7"/>
      <c r="E2302" s="7"/>
      <c r="F2302" s="22"/>
      <c r="G2302" s="22"/>
      <c r="H2302" s="24"/>
      <c r="I2302" s="24"/>
      <c r="K2302" s="8"/>
    </row>
    <row r="2303">
      <c r="A2303" s="24"/>
      <c r="B2303" s="24"/>
      <c r="C2303" s="24"/>
      <c r="D2303" s="7"/>
      <c r="E2303" s="7"/>
      <c r="F2303" s="22"/>
      <c r="G2303" s="22"/>
      <c r="H2303" s="24"/>
      <c r="I2303" s="24"/>
      <c r="K2303" s="8"/>
    </row>
    <row r="2304">
      <c r="A2304" s="24"/>
      <c r="B2304" s="24"/>
      <c r="C2304" s="24"/>
      <c r="D2304" s="7"/>
      <c r="E2304" s="7"/>
      <c r="F2304" s="22"/>
      <c r="G2304" s="22"/>
      <c r="H2304" s="24"/>
      <c r="I2304" s="24"/>
      <c r="K2304" s="8"/>
    </row>
    <row r="2305">
      <c r="A2305" s="24"/>
      <c r="B2305" s="24"/>
      <c r="C2305" s="24"/>
      <c r="D2305" s="7"/>
      <c r="E2305" s="7"/>
      <c r="F2305" s="22"/>
      <c r="G2305" s="22"/>
      <c r="H2305" s="24"/>
      <c r="I2305" s="24"/>
      <c r="K2305" s="8"/>
    </row>
    <row r="2306">
      <c r="A2306" s="24"/>
      <c r="B2306" s="24"/>
      <c r="C2306" s="24"/>
      <c r="D2306" s="7"/>
      <c r="E2306" s="7"/>
      <c r="F2306" s="22"/>
      <c r="G2306" s="22"/>
      <c r="H2306" s="24"/>
      <c r="I2306" s="24"/>
      <c r="K2306" s="8"/>
    </row>
    <row r="2307">
      <c r="A2307" s="24"/>
      <c r="B2307" s="24"/>
      <c r="C2307" s="24"/>
      <c r="D2307" s="7"/>
      <c r="E2307" s="7"/>
      <c r="F2307" s="22"/>
      <c r="G2307" s="22"/>
      <c r="H2307" s="24"/>
      <c r="I2307" s="24"/>
      <c r="K2307" s="8"/>
    </row>
    <row r="2308">
      <c r="A2308" s="24"/>
      <c r="B2308" s="24"/>
      <c r="C2308" s="24"/>
      <c r="D2308" s="7"/>
      <c r="E2308" s="7"/>
      <c r="F2308" s="22"/>
      <c r="G2308" s="22"/>
      <c r="H2308" s="24"/>
      <c r="I2308" s="24"/>
      <c r="K2308" s="8"/>
    </row>
    <row r="2309">
      <c r="A2309" s="24"/>
      <c r="B2309" s="24"/>
      <c r="C2309" s="24"/>
      <c r="D2309" s="7"/>
      <c r="E2309" s="7"/>
      <c r="F2309" s="22"/>
      <c r="G2309" s="22"/>
      <c r="H2309" s="24"/>
      <c r="I2309" s="24"/>
      <c r="K2309" s="8"/>
    </row>
    <row r="2310">
      <c r="A2310" s="24"/>
      <c r="B2310" s="24"/>
      <c r="C2310" s="24"/>
      <c r="D2310" s="7"/>
      <c r="E2310" s="7"/>
      <c r="F2310" s="22"/>
      <c r="G2310" s="22"/>
      <c r="H2310" s="24"/>
      <c r="I2310" s="24"/>
      <c r="K2310" s="8"/>
    </row>
    <row r="2311">
      <c r="A2311" s="24"/>
      <c r="B2311" s="24"/>
      <c r="C2311" s="24"/>
      <c r="D2311" s="7"/>
      <c r="E2311" s="7"/>
      <c r="F2311" s="22"/>
      <c r="G2311" s="22"/>
      <c r="H2311" s="24"/>
      <c r="I2311" s="24"/>
      <c r="K2311" s="8"/>
    </row>
    <row r="2312">
      <c r="A2312" s="24"/>
      <c r="B2312" s="24"/>
      <c r="C2312" s="24"/>
      <c r="D2312" s="7"/>
      <c r="E2312" s="7"/>
      <c r="F2312" s="22"/>
      <c r="G2312" s="22"/>
      <c r="H2312" s="24"/>
      <c r="I2312" s="24"/>
      <c r="K2312" s="8"/>
    </row>
    <row r="2313">
      <c r="A2313" s="24"/>
      <c r="B2313" s="24"/>
      <c r="C2313" s="24"/>
      <c r="D2313" s="7"/>
      <c r="E2313" s="7"/>
      <c r="F2313" s="22"/>
      <c r="G2313" s="22"/>
      <c r="H2313" s="24"/>
      <c r="I2313" s="24"/>
      <c r="K2313" s="8"/>
    </row>
    <row r="2314">
      <c r="A2314" s="24"/>
      <c r="B2314" s="24"/>
      <c r="C2314" s="24"/>
      <c r="D2314" s="7"/>
      <c r="E2314" s="7"/>
      <c r="F2314" s="22"/>
      <c r="G2314" s="22"/>
      <c r="H2314" s="24"/>
      <c r="I2314" s="24"/>
      <c r="K2314" s="8"/>
    </row>
    <row r="2315">
      <c r="A2315" s="24"/>
      <c r="B2315" s="24"/>
      <c r="C2315" s="24"/>
      <c r="D2315" s="7"/>
      <c r="E2315" s="7"/>
      <c r="F2315" s="22"/>
      <c r="G2315" s="22"/>
      <c r="H2315" s="24"/>
      <c r="I2315" s="24"/>
      <c r="K2315" s="8"/>
    </row>
    <row r="2316">
      <c r="A2316" s="24"/>
      <c r="B2316" s="24"/>
      <c r="C2316" s="24"/>
      <c r="D2316" s="7"/>
      <c r="E2316" s="7"/>
      <c r="F2316" s="22"/>
      <c r="G2316" s="22"/>
      <c r="H2316" s="24"/>
      <c r="I2316" s="24"/>
      <c r="K2316" s="8"/>
    </row>
    <row r="2317">
      <c r="A2317" s="24"/>
      <c r="B2317" s="24"/>
      <c r="C2317" s="24"/>
      <c r="D2317" s="7"/>
      <c r="E2317" s="7"/>
      <c r="F2317" s="22"/>
      <c r="G2317" s="22"/>
      <c r="H2317" s="24"/>
      <c r="I2317" s="24"/>
      <c r="K2317" s="8"/>
    </row>
    <row r="2318">
      <c r="A2318" s="24"/>
      <c r="B2318" s="24"/>
      <c r="C2318" s="24"/>
      <c r="D2318" s="7"/>
      <c r="E2318" s="7"/>
      <c r="F2318" s="22"/>
      <c r="G2318" s="22"/>
      <c r="H2318" s="24"/>
      <c r="I2318" s="24"/>
      <c r="K2318" s="8"/>
    </row>
    <row r="2319">
      <c r="A2319" s="24"/>
      <c r="B2319" s="24"/>
      <c r="C2319" s="24"/>
      <c r="D2319" s="7"/>
      <c r="E2319" s="7"/>
      <c r="F2319" s="22"/>
      <c r="G2319" s="22"/>
      <c r="H2319" s="24"/>
      <c r="I2319" s="24"/>
      <c r="K2319" s="8"/>
    </row>
    <row r="2320">
      <c r="A2320" s="24"/>
      <c r="B2320" s="24"/>
      <c r="C2320" s="24"/>
      <c r="D2320" s="7"/>
      <c r="E2320" s="7"/>
      <c r="F2320" s="22"/>
      <c r="G2320" s="22"/>
      <c r="H2320" s="24"/>
      <c r="I2320" s="24"/>
      <c r="K2320" s="8"/>
    </row>
    <row r="2321">
      <c r="A2321" s="24"/>
      <c r="B2321" s="24"/>
      <c r="C2321" s="24"/>
      <c r="D2321" s="7"/>
      <c r="E2321" s="7"/>
      <c r="F2321" s="22"/>
      <c r="G2321" s="22"/>
      <c r="H2321" s="24"/>
      <c r="I2321" s="24"/>
      <c r="K2321" s="8"/>
    </row>
    <row r="2322">
      <c r="A2322" s="24"/>
      <c r="B2322" s="24"/>
      <c r="C2322" s="24"/>
      <c r="D2322" s="7"/>
      <c r="E2322" s="7"/>
      <c r="F2322" s="22"/>
      <c r="G2322" s="22"/>
      <c r="H2322" s="24"/>
      <c r="I2322" s="24"/>
      <c r="K2322" s="8"/>
    </row>
    <row r="2323">
      <c r="A2323" s="24"/>
      <c r="B2323" s="24"/>
      <c r="C2323" s="24"/>
      <c r="D2323" s="7"/>
      <c r="E2323" s="7"/>
      <c r="F2323" s="22"/>
      <c r="G2323" s="22"/>
      <c r="H2323" s="24"/>
      <c r="I2323" s="24"/>
      <c r="K2323" s="8"/>
    </row>
    <row r="2324">
      <c r="A2324" s="24"/>
      <c r="B2324" s="24"/>
      <c r="C2324" s="24"/>
      <c r="D2324" s="7"/>
      <c r="E2324" s="7"/>
      <c r="F2324" s="22"/>
      <c r="G2324" s="22"/>
      <c r="H2324" s="24"/>
      <c r="I2324" s="24"/>
      <c r="K2324" s="8"/>
    </row>
    <row r="2325">
      <c r="A2325" s="24"/>
      <c r="B2325" s="24"/>
      <c r="C2325" s="24"/>
      <c r="D2325" s="7"/>
      <c r="E2325" s="7"/>
      <c r="F2325" s="22"/>
      <c r="G2325" s="22"/>
      <c r="H2325" s="24"/>
      <c r="I2325" s="24"/>
      <c r="K2325" s="8"/>
    </row>
    <row r="2326">
      <c r="A2326" s="24"/>
      <c r="B2326" s="24"/>
      <c r="C2326" s="24"/>
      <c r="D2326" s="7"/>
      <c r="E2326" s="7"/>
      <c r="F2326" s="22"/>
      <c r="G2326" s="22"/>
      <c r="H2326" s="24"/>
      <c r="I2326" s="24"/>
      <c r="K2326" s="8"/>
    </row>
    <row r="2327">
      <c r="A2327" s="24"/>
      <c r="B2327" s="24"/>
      <c r="C2327" s="24"/>
      <c r="D2327" s="7"/>
      <c r="E2327" s="7"/>
      <c r="F2327" s="22"/>
      <c r="G2327" s="22"/>
      <c r="H2327" s="24"/>
      <c r="I2327" s="24"/>
      <c r="K2327" s="8"/>
    </row>
    <row r="2328">
      <c r="A2328" s="24"/>
      <c r="B2328" s="24"/>
      <c r="C2328" s="24"/>
      <c r="D2328" s="7"/>
      <c r="E2328" s="7"/>
      <c r="F2328" s="22"/>
      <c r="G2328" s="22"/>
      <c r="H2328" s="24"/>
      <c r="I2328" s="24"/>
      <c r="K2328" s="8"/>
    </row>
    <row r="2329">
      <c r="A2329" s="24"/>
      <c r="B2329" s="24"/>
      <c r="C2329" s="24"/>
      <c r="D2329" s="7"/>
      <c r="E2329" s="7"/>
      <c r="F2329" s="22"/>
      <c r="G2329" s="22"/>
      <c r="H2329" s="24"/>
      <c r="I2329" s="24"/>
      <c r="K2329" s="8"/>
    </row>
    <row r="2330">
      <c r="A2330" s="24"/>
      <c r="B2330" s="24"/>
      <c r="C2330" s="24"/>
      <c r="D2330" s="7"/>
      <c r="E2330" s="7"/>
      <c r="F2330" s="22"/>
      <c r="G2330" s="22"/>
      <c r="H2330" s="24"/>
      <c r="I2330" s="24"/>
      <c r="K2330" s="8"/>
    </row>
    <row r="2331">
      <c r="A2331" s="24"/>
      <c r="B2331" s="24"/>
      <c r="C2331" s="24"/>
      <c r="D2331" s="7"/>
      <c r="E2331" s="7"/>
      <c r="F2331" s="22"/>
      <c r="G2331" s="22"/>
      <c r="H2331" s="24"/>
      <c r="I2331" s="24"/>
      <c r="K2331" s="8"/>
    </row>
    <row r="2332">
      <c r="A2332" s="24"/>
      <c r="B2332" s="24"/>
      <c r="C2332" s="24"/>
      <c r="D2332" s="7"/>
      <c r="E2332" s="7"/>
      <c r="F2332" s="22"/>
      <c r="G2332" s="22"/>
      <c r="H2332" s="24"/>
      <c r="I2332" s="24"/>
      <c r="K2332" s="8"/>
    </row>
    <row r="2333">
      <c r="A2333" s="24"/>
      <c r="B2333" s="24"/>
      <c r="C2333" s="24"/>
      <c r="D2333" s="7"/>
      <c r="E2333" s="7"/>
      <c r="F2333" s="22"/>
      <c r="G2333" s="22"/>
      <c r="H2333" s="24"/>
      <c r="I2333" s="24"/>
      <c r="K2333" s="8"/>
    </row>
    <row r="2334">
      <c r="A2334" s="24"/>
      <c r="B2334" s="24"/>
      <c r="C2334" s="24"/>
      <c r="D2334" s="7"/>
      <c r="E2334" s="7"/>
      <c r="F2334" s="22"/>
      <c r="G2334" s="22"/>
      <c r="H2334" s="24"/>
      <c r="I2334" s="24"/>
      <c r="K2334" s="8"/>
    </row>
    <row r="2335">
      <c r="A2335" s="24"/>
      <c r="B2335" s="24"/>
      <c r="C2335" s="24"/>
      <c r="D2335" s="7"/>
      <c r="E2335" s="7"/>
      <c r="F2335" s="22"/>
      <c r="G2335" s="22"/>
      <c r="H2335" s="24"/>
      <c r="I2335" s="24"/>
      <c r="K2335" s="8"/>
    </row>
    <row r="2336">
      <c r="A2336" s="24"/>
      <c r="B2336" s="24"/>
      <c r="C2336" s="24"/>
      <c r="D2336" s="7"/>
      <c r="E2336" s="7"/>
      <c r="F2336" s="22"/>
      <c r="G2336" s="22"/>
      <c r="H2336" s="24"/>
      <c r="I2336" s="24"/>
      <c r="K2336" s="8"/>
    </row>
    <row r="2337">
      <c r="A2337" s="24"/>
      <c r="B2337" s="24"/>
      <c r="C2337" s="24"/>
      <c r="D2337" s="7"/>
      <c r="E2337" s="7"/>
      <c r="F2337" s="22"/>
      <c r="G2337" s="22"/>
      <c r="H2337" s="24"/>
      <c r="I2337" s="24"/>
      <c r="K2337" s="8"/>
    </row>
    <row r="2338">
      <c r="A2338" s="24"/>
      <c r="B2338" s="24"/>
      <c r="C2338" s="24"/>
      <c r="D2338" s="7"/>
      <c r="E2338" s="7"/>
      <c r="F2338" s="22"/>
      <c r="G2338" s="22"/>
      <c r="H2338" s="24"/>
      <c r="I2338" s="24"/>
      <c r="K2338" s="8"/>
    </row>
    <row r="2339">
      <c r="A2339" s="24"/>
      <c r="B2339" s="24"/>
      <c r="C2339" s="24"/>
      <c r="D2339" s="7"/>
      <c r="E2339" s="7"/>
      <c r="F2339" s="22"/>
      <c r="G2339" s="22"/>
      <c r="H2339" s="24"/>
      <c r="I2339" s="24"/>
      <c r="K2339" s="8"/>
    </row>
    <row r="2340">
      <c r="A2340" s="24"/>
      <c r="B2340" s="24"/>
      <c r="C2340" s="24"/>
      <c r="D2340" s="7"/>
      <c r="E2340" s="7"/>
      <c r="F2340" s="22"/>
      <c r="G2340" s="22"/>
      <c r="H2340" s="24"/>
      <c r="I2340" s="24"/>
      <c r="K2340" s="8"/>
    </row>
    <row r="2341">
      <c r="A2341" s="24"/>
      <c r="B2341" s="24"/>
      <c r="C2341" s="24"/>
      <c r="D2341" s="7"/>
      <c r="E2341" s="7"/>
      <c r="F2341" s="22"/>
      <c r="G2341" s="22"/>
      <c r="H2341" s="24"/>
      <c r="I2341" s="24"/>
      <c r="K2341" s="8"/>
    </row>
    <row r="2342">
      <c r="A2342" s="24"/>
      <c r="B2342" s="24"/>
      <c r="C2342" s="24"/>
      <c r="D2342" s="7"/>
      <c r="E2342" s="7"/>
      <c r="F2342" s="22"/>
      <c r="G2342" s="22"/>
      <c r="H2342" s="24"/>
      <c r="I2342" s="24"/>
      <c r="K2342" s="8"/>
    </row>
    <row r="2343">
      <c r="A2343" s="24"/>
      <c r="B2343" s="24"/>
      <c r="C2343" s="24"/>
      <c r="D2343" s="7"/>
      <c r="E2343" s="7"/>
      <c r="F2343" s="22"/>
      <c r="G2343" s="22"/>
      <c r="H2343" s="24"/>
      <c r="I2343" s="24"/>
      <c r="K2343" s="8"/>
    </row>
    <row r="2344">
      <c r="A2344" s="24"/>
      <c r="B2344" s="24"/>
      <c r="C2344" s="24"/>
      <c r="D2344" s="7"/>
      <c r="E2344" s="7"/>
      <c r="F2344" s="22"/>
      <c r="G2344" s="22"/>
      <c r="H2344" s="24"/>
      <c r="I2344" s="24"/>
      <c r="K2344" s="8"/>
    </row>
    <row r="2345">
      <c r="A2345" s="24"/>
      <c r="B2345" s="24"/>
      <c r="C2345" s="24"/>
      <c r="D2345" s="7"/>
      <c r="E2345" s="7"/>
      <c r="F2345" s="22"/>
      <c r="G2345" s="22"/>
      <c r="H2345" s="24"/>
      <c r="I2345" s="24"/>
      <c r="K2345" s="8"/>
    </row>
    <row r="2346">
      <c r="A2346" s="24"/>
      <c r="B2346" s="24"/>
      <c r="C2346" s="24"/>
      <c r="D2346" s="7"/>
      <c r="E2346" s="7"/>
      <c r="F2346" s="22"/>
      <c r="G2346" s="22"/>
      <c r="H2346" s="24"/>
      <c r="I2346" s="24"/>
      <c r="K2346" s="8"/>
    </row>
    <row r="2347">
      <c r="A2347" s="24"/>
      <c r="B2347" s="24"/>
      <c r="C2347" s="24"/>
      <c r="D2347" s="7"/>
      <c r="E2347" s="7"/>
      <c r="F2347" s="22"/>
      <c r="G2347" s="22"/>
      <c r="H2347" s="24"/>
      <c r="I2347" s="24"/>
      <c r="K2347" s="8"/>
    </row>
    <row r="2348">
      <c r="A2348" s="24"/>
      <c r="B2348" s="24"/>
      <c r="C2348" s="24"/>
      <c r="D2348" s="7"/>
      <c r="E2348" s="7"/>
      <c r="F2348" s="22"/>
      <c r="G2348" s="22"/>
      <c r="H2348" s="24"/>
      <c r="I2348" s="24"/>
      <c r="K2348" s="8"/>
    </row>
    <row r="2349">
      <c r="A2349" s="24"/>
      <c r="B2349" s="24"/>
      <c r="C2349" s="24"/>
      <c r="D2349" s="7"/>
      <c r="E2349" s="7"/>
      <c r="F2349" s="22"/>
      <c r="G2349" s="22"/>
      <c r="H2349" s="24"/>
      <c r="I2349" s="24"/>
      <c r="K2349" s="8"/>
    </row>
  </sheetData>
  <autoFilter ref="$A$1:$I$2349">
    <sortState ref="A1:I2349">
      <sortCondition ref="B1:B2349"/>
      <sortCondition ref="A1:A2349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26" t="s">
        <v>0</v>
      </c>
      <c r="C1" s="26" t="s">
        <v>146</v>
      </c>
    </row>
    <row r="2">
      <c r="B2" s="27">
        <v>1.0</v>
      </c>
      <c r="C2" s="2" t="s">
        <v>213</v>
      </c>
      <c r="E2" s="4" t="str">
        <f t="shared" ref="E2:E21" si="1">CONCATENATE("update productos_atributos set idatributo=",B2," where nombreatributo='",C2,"';")</f>
        <v>update productos_atributos set idatributo=1 where nombreatributo='FRAGANCIA';</v>
      </c>
    </row>
    <row r="3">
      <c r="B3" s="27">
        <v>2.0</v>
      </c>
      <c r="C3" s="2" t="s">
        <v>259</v>
      </c>
      <c r="E3" s="4" t="str">
        <f t="shared" si="1"/>
        <v>update productos_atributos set idatributo=2 where nombreatributo='TIPO';</v>
      </c>
    </row>
    <row r="4">
      <c r="B4" s="27">
        <v>3.0</v>
      </c>
      <c r="C4" s="2" t="s">
        <v>263</v>
      </c>
      <c r="E4" s="4" t="str">
        <f t="shared" si="1"/>
        <v>update productos_atributos set idatributo=3 where nombreatributo='MEDIDAS';</v>
      </c>
    </row>
    <row r="5">
      <c r="B5" s="27">
        <v>4.0</v>
      </c>
      <c r="C5" s="2" t="s">
        <v>315</v>
      </c>
      <c r="E5" s="4" t="str">
        <f t="shared" si="1"/>
        <v>update productos_atributos set idatributo=4 where nombreatributo='TALLE';</v>
      </c>
    </row>
    <row r="6">
      <c r="B6" s="27">
        <v>5.0</v>
      </c>
      <c r="C6" s="2" t="s">
        <v>540</v>
      </c>
      <c r="E6" s="4" t="str">
        <f t="shared" si="1"/>
        <v>update productos_atributos set idatributo=5 where nombreatributo='LITROS';</v>
      </c>
    </row>
    <row r="7">
      <c r="B7" s="27">
        <v>6.0</v>
      </c>
      <c r="C7" s="2" t="s">
        <v>559</v>
      </c>
      <c r="E7" s="4" t="str">
        <f t="shared" si="1"/>
        <v>update productos_atributos set idatributo=6 where nombreatributo='MARCA';</v>
      </c>
    </row>
    <row r="8">
      <c r="B8" s="27">
        <v>7.0</v>
      </c>
      <c r="C8" s="2" t="s">
        <v>2212</v>
      </c>
      <c r="E8" s="4" t="str">
        <f t="shared" si="1"/>
        <v>update productos_atributos set idatributo=7 where nombreatributo='UNIDAD';</v>
      </c>
    </row>
    <row r="9">
      <c r="B9" s="27">
        <v>8.0</v>
      </c>
      <c r="C9" s="2" t="s">
        <v>581</v>
      </c>
      <c r="E9" s="4" t="str">
        <f t="shared" si="1"/>
        <v>update productos_atributos set idatributo=8 where nombreatributo='COLOR';</v>
      </c>
    </row>
    <row r="10">
      <c r="B10" s="27">
        <v>9.0</v>
      </c>
      <c r="C10" s="2" t="s">
        <v>617</v>
      </c>
      <c r="E10" s="4" t="str">
        <f t="shared" si="1"/>
        <v>update productos_atributos set idatributo=9 where nombreatributo='TERMINACION';</v>
      </c>
    </row>
    <row r="11">
      <c r="B11" s="27">
        <v>10.0</v>
      </c>
      <c r="C11" s="2" t="s">
        <v>663</v>
      </c>
      <c r="E11" s="4" t="str">
        <f t="shared" si="1"/>
        <v>update productos_atributos set idatributo=10 where nombreatributo='TAMAÑO';</v>
      </c>
    </row>
    <row r="12">
      <c r="B12" s="27">
        <v>11.0</v>
      </c>
      <c r="C12" s="2" t="s">
        <v>673</v>
      </c>
      <c r="E12" s="4" t="str">
        <f t="shared" si="1"/>
        <v>update productos_atributos set idatributo=11 where nombreatributo='GRANO';</v>
      </c>
    </row>
    <row r="13">
      <c r="B13" s="27">
        <v>12.0</v>
      </c>
      <c r="C13" s="2" t="s">
        <v>692</v>
      </c>
      <c r="E13" s="4" t="str">
        <f t="shared" si="1"/>
        <v>update productos_atributos set idatributo=12 where nombreatributo='PESO';</v>
      </c>
    </row>
    <row r="14">
      <c r="B14" s="27">
        <v>13.0</v>
      </c>
      <c r="C14" s="2" t="s">
        <v>1028</v>
      </c>
      <c r="E14" s="4" t="str">
        <f t="shared" si="1"/>
        <v>update productos_atributos set idatributo=13 where nombreatributo='CALIDAD';</v>
      </c>
    </row>
    <row r="15">
      <c r="B15" s="27">
        <v>14.0</v>
      </c>
      <c r="C15" s="2" t="s">
        <v>1130</v>
      </c>
      <c r="E15" s="4" t="str">
        <f t="shared" si="1"/>
        <v>update productos_atributos set idatributo=14 where nombreatributo='CAPACIDAD';</v>
      </c>
    </row>
    <row r="16">
      <c r="B16" s="27">
        <v>15.0</v>
      </c>
      <c r="C16" s="2" t="s">
        <v>1272</v>
      </c>
      <c r="E16" s="4" t="str">
        <f t="shared" si="1"/>
        <v>update productos_atributos set idatributo=15 where nombreatributo='DENSIDAD';</v>
      </c>
    </row>
    <row r="17">
      <c r="B17" s="27">
        <v>16.0</v>
      </c>
      <c r="C17" s="2" t="s">
        <v>1331</v>
      </c>
      <c r="E17" s="4" t="str">
        <f t="shared" si="1"/>
        <v>update productos_atributos set idatributo=16 where nombreatributo='FORMATO';</v>
      </c>
    </row>
    <row r="18">
      <c r="B18" s="27">
        <v>17.0</v>
      </c>
      <c r="C18" s="2" t="s">
        <v>1521</v>
      </c>
      <c r="E18" s="4" t="str">
        <f t="shared" si="1"/>
        <v>update productos_atributos set idatributo=17 where nombreatributo='VARIEDAD';</v>
      </c>
    </row>
    <row r="19">
      <c r="B19" s="27">
        <v>18.0</v>
      </c>
      <c r="C19" s="2" t="s">
        <v>1648</v>
      </c>
      <c r="E19" s="4" t="str">
        <f t="shared" si="1"/>
        <v>update productos_atributos set idatributo=18 where nombreatributo='SABOR';</v>
      </c>
    </row>
    <row r="20">
      <c r="B20" s="27">
        <v>19.0</v>
      </c>
      <c r="C20" s="2" t="s">
        <v>1932</v>
      </c>
      <c r="E20" s="4" t="str">
        <f t="shared" si="1"/>
        <v>update productos_atributos set idatributo=19 where nombreatributo='METROS';</v>
      </c>
    </row>
    <row r="21">
      <c r="B21" s="27">
        <v>20.0</v>
      </c>
      <c r="C21" s="2" t="s">
        <v>1942</v>
      </c>
      <c r="E21" s="4" t="str">
        <f t="shared" si="1"/>
        <v>update productos_atributos set idatributo=20 where nombreatributo='ESPESOR';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2844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2022-03-16T00:37:01Z</dcterms:created>
  <dc:creator>Marcos</dc:creator>
</cp:coreProperties>
</file>